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efinition of Term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onthly Projection" sheetId="3" state="visible" r:id="rId3"/>
    <sheet xmlns:r="http://schemas.openxmlformats.org/officeDocument/2006/relationships" name="Annual Summary" sheetId="4" state="visible" r:id="rId4"/>
    <sheet xmlns:r="http://schemas.openxmlformats.org/officeDocument/2006/relationships" name="Unit Economics" sheetId="5" state="visible" r:id="rId5"/>
  </sheets>
  <definedNames/>
</workbook>
</file>

<file path=xl/styles.xml><?xml version="1.0" encoding="utf-8"?>
<styleSheet xmlns="http://schemas.openxmlformats.org/spreadsheetml/2006/main">
  <numFmts count="3">
    <numFmt numFmtId="164" formatCode="#,##0.0"/>
    <numFmt numFmtId="165" formatCode="₱#,##0;[Red](₱#,##0);-"/>
    <numFmt numFmtId="166" formatCode="#,##0;[Red](#,##0);-"/>
  </numFmts>
  <fonts count="8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color rgb="000000FF"/>
    </font>
    <font>
      <color rgb="00666666"/>
    </font>
    <font/>
    <font>
      <color rgb="00000000"/>
    </font>
    <font>
      <b val="1"/>
      <color rgb="000B4552"/>
    </font>
  </fonts>
  <fills count="6">
    <fill>
      <patternFill/>
    </fill>
    <fill>
      <patternFill patternType="gray125"/>
    </fill>
    <fill>
      <patternFill patternType="solid">
        <fgColor rgb="000E3B43"/>
      </patternFill>
    </fill>
    <fill>
      <patternFill patternType="solid">
        <fgColor rgb="00DDEFEF"/>
      </patternFill>
    </fill>
    <fill>
      <patternFill patternType="solid">
        <fgColor rgb="00FFFF00"/>
      </patternFill>
    </fill>
    <fill>
      <patternFill patternType="solid">
        <fgColor rgb="00D9EEF2"/>
      </patternFill>
    </fill>
  </fills>
  <borders count="2">
    <border>
      <left/>
      <right/>
      <top/>
      <bottom/>
      <diagonal/>
    </border>
    <border>
      <bottom style="thin">
        <color rgb="00D6E7E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164" fontId="6" fillId="0" borderId="1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6" fillId="0" borderId="0" applyAlignment="1" pivotButton="0" quotePrefix="0" xfId="0">
      <alignment vertical="top" wrapText="1"/>
    </xf>
    <xf numFmtId="165" fontId="6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166" fontId="6" fillId="0" borderId="0" applyAlignment="1" pivotButton="0" quotePrefix="0" xfId="0">
      <alignment vertical="top" wrapText="1"/>
    </xf>
    <xf numFmtId="0" fontId="7" fillId="5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Posted Requests and Completed Jobs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Projection'!$B$2:$AK$2</f>
              <strCache>
                <ptCount val="0"/>
              </strCache>
            </strRef>
          </cat>
          <val>
            <numRef>
              <f>'Monthly Projection'!$B$4:$AK$4</f>
              <numCache>
                <ptCount val="0"/>
              </numCache>
            </numRef>
          </val>
          <smooth val="0"/>
        </ser>
        <ser>
          <idx val="1"/>
          <order val="1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'Monthly Projection'!$B$2:$AK$2</f>
              <strCache>
                <ptCount val="0"/>
              </strCache>
            </strRef>
          </cat>
          <val>
            <numRef>
              <f>'Monthly Projection'!$B$5:$AK$5</f>
              <numCache>
                <ptCount val="0"/>
              </numCache>
            </numRef>
          </val>
          <smooth val="0"/>
        </ser>
        <axId val="48650112"/>
        <axId val="48672768"/>
      </line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Annual Revenue vs Expenses</a:t>
            </a:r>
          </a:p>
        </rich>
      </tx>
      <overlay val="0"/>
      <txPr>
        <a:bodyPr xmlns:a="http://schemas.openxmlformats.org/drawingml/2006/main" rot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/>
          </a:pPr>
          <a:r>
            <a:t>None</a:t>
          </a:r>
        </a:p>
      </txPr>
    </title>
    <plotArea>
      <layout/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'Annual Summary'!$B$2:$D$2</f>
              <strCache>
                <ptCount val="0"/>
              </strCache>
            </strRef>
          </cat>
          <val>
            <numRef>
              <f>'Annual Summary'!$B$5:$D$5</f>
              <numCache>
                <ptCount val="0"/>
              </numCache>
            </numRef>
          </val>
        </ser>
        <ser>
          <idx val="1"/>
          <order val="1"/>
          <spPr>
            <a:ln xmlns:a="http://schemas.openxmlformats.org/drawingml/2006/main">
              <a:prstDash val="solid"/>
            </a:ln>
          </spPr>
          <cat>
            <strRef>
              <f>'Annual Summary'!$B$2:$D$2</f>
              <strCache>
                <ptCount val="0"/>
              </strCache>
            </strRef>
          </cat>
          <val>
            <numRef>
              <f>'Annual Summary'!$B$6:$D$6</f>
              <numCach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numFmt formatCode="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numFmt formatCode="" sourceLinked="0"/>
        <majorTickMark val="none"/>
        <minorTickMark val="none"/>
        <tickLblPos val="nextTo"/>
        <crossAx val="48650112"/>
        <crosses val="autoZero"/>
        <crossBetween val="between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OpenAI</author>
  </authors>
  <commentList>
    <comment ref="B3" authorId="0" shapeId="0">
      <text>
        <t>Editable assumption. Validate through the pilot before relying on projections.</t>
      </text>
    </comment>
    <comment ref="B4" authorId="0" shapeId="0">
      <text>
        <t>Target from KAILA provider recruitment plan, not an external statistic.</t>
      </text>
    </comment>
    <comment ref="B5" authorId="0" shapeId="0">
      <text>
        <t>Target from KAILA market validation plan, not an external statistic.</t>
      </text>
    </comment>
    <comment ref="B6" authorId="0" shapeId="0">
      <text>
        <t>Editable assumption. Validate through the pilot before relying on projections.</t>
      </text>
    </comment>
    <comment ref="B7" authorId="0" shapeId="0">
      <text>
        <t>Editable assumption. Validate through the pilot before relying on projections.</t>
      </text>
    </comment>
    <comment ref="B8" authorId="0" shapeId="0">
      <text>
        <t>Editable assumption. Validate through the pilot before relying on projections.</t>
      </text>
    </comment>
    <comment ref="B9" authorId="0" shapeId="0">
      <text>
        <t>Editable assumption. Validate through the pilot before relying on projections.</t>
      </text>
    </comment>
    <comment ref="B10" authorId="0" shapeId="0">
      <text>
        <t>Editable assumption. Validate through the pilot before relying on projections.</t>
      </text>
    </comment>
    <comment ref="B11" authorId="0" shapeId="0">
      <text>
        <t>Editable assumption. Validate through the pilot before relying on projections.</t>
      </text>
    </comment>
    <comment ref="B12" authorId="0" shapeId="0">
      <text>
        <t>Editable assumption. Validate through the pilot before relying on projections.</t>
      </text>
    </comment>
    <comment ref="B13" authorId="0" shapeId="0">
      <text>
        <t>Editable assumption. Validate through the pilot before relying on projections.</t>
      </text>
    </comment>
    <comment ref="B14" authorId="0" shapeId="0">
      <text>
        <t>Editable assumption. Validate through the pilot before relying on projections.</t>
      </text>
    </comment>
    <comment ref="B15" authorId="0" shapeId="0">
      <text>
        <t>Editable assumption. Validate through the pilot before relying on projections.</t>
      </text>
    </comment>
    <comment ref="B16" authorId="0" shapeId="0">
      <text>
        <t>Editable assumption. Validate through the pilot before relying on projections.</t>
      </text>
    </comment>
    <comment ref="B17" authorId="0" shapeId="0">
      <text>
        <t>Editable assumption. Validate through the pilot before relying on projections.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twoCellAnchor>
    <from>
      <col>1</col>
      <colOff>0</colOff>
      <row>21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5</col>
      <colOff>0</colOff>
      <row>1</row>
      <rowOff>0</rowOff>
    </from>
    <to>
      <col>2</col>
      <colOff>0</colOff>
      <row>10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17" t="inlineStr">
        <is>
          <t>Term</t>
        </is>
      </c>
      <c r="B1" s="17" t="inlineStr">
        <is>
          <t>Definition</t>
        </is>
      </c>
    </row>
    <row r="2">
      <c r="A2" t="inlineStr">
        <is>
          <t>KAILA</t>
        </is>
      </c>
      <c r="B2" t="inlineStr">
        <is>
          <t>The proposed local services marketplace that helps clients find trusted local help and helps skilled workers become more visible.</t>
        </is>
      </c>
    </row>
    <row r="3">
      <c r="A3" t="inlineStr">
        <is>
          <t>Client</t>
        </is>
      </c>
      <c r="B3" t="inlineStr">
        <is>
          <t>A person, household, business, or organization that posts a service need or hires a provider through KAILA.</t>
        </is>
      </c>
    </row>
    <row r="4">
      <c r="A4" t="inlineStr">
        <is>
          <t>Provider</t>
        </is>
      </c>
      <c r="B4" t="inlineStr">
        <is>
          <t>A skilled worker, freelancer, technician, shop, or service professional who offers work through KAILA.</t>
        </is>
      </c>
    </row>
    <row r="5">
      <c r="A5" t="inlineStr">
        <is>
          <t>Service Request</t>
        </is>
      </c>
      <c r="B5" t="inlineStr">
        <is>
          <t>A client post describing the job needed, location, budget, urgency, details, and optional photos or files.</t>
        </is>
      </c>
    </row>
    <row r="6">
      <c r="A6" t="inlineStr">
        <is>
          <t>Offer</t>
        </is>
      </c>
      <c r="B6" t="inlineStr">
        <is>
          <t>A provider's response to a service request, including price, availability, scope notes, or proposed schedule.</t>
        </is>
      </c>
    </row>
    <row r="7">
      <c r="A7" t="inlineStr">
        <is>
          <t>Counter-Offer</t>
        </is>
      </c>
      <c r="B7" t="inlineStr">
        <is>
          <t>A revised offer made when the provider or client proposes a different price, schedule, or service scope.</t>
        </is>
      </c>
    </row>
    <row r="8">
      <c r="A8" t="inlineStr">
        <is>
          <t>Marketplace</t>
        </is>
      </c>
      <c r="B8" t="inlineStr">
        <is>
          <t>The two-sided system where clients and providers discover, evaluate, transact, and rate each other.</t>
        </is>
      </c>
    </row>
    <row r="9">
      <c r="A9" t="inlineStr">
        <is>
          <t>MVP</t>
        </is>
      </c>
      <c r="B9" t="inlineStr">
        <is>
          <t>Minimum Viable Product; the simplest usable version of KAILA needed to test marketplace behavior.</t>
        </is>
      </c>
    </row>
    <row r="10">
      <c r="A10" t="inlineStr">
        <is>
          <t>Pilot</t>
        </is>
      </c>
      <c r="B10" t="inlineStr">
        <is>
          <t>A limited real-world launch in one city or area used to validate demand, provider response, operations, and trust.</t>
        </is>
      </c>
    </row>
    <row r="11">
      <c r="A11" t="inlineStr">
        <is>
          <t>Concierge Pilot</t>
        </is>
      </c>
      <c r="B11" t="inlineStr">
        <is>
          <t>A marketplace test using the existing browser MVP/native wrapper plus Facebook page posts, Messenger follow-up, and manual operations support.</t>
        </is>
      </c>
    </row>
    <row r="12">
      <c r="A12" t="inlineStr">
        <is>
          <t>Verification</t>
        </is>
      </c>
      <c r="B12" t="inlineStr">
        <is>
          <t>The process of checking provider identity, service information, work samples, permits, certificates, or references.</t>
        </is>
      </c>
    </row>
    <row r="13">
      <c r="A13" t="inlineStr">
        <is>
          <t>Rating</t>
        </is>
      </c>
      <c r="B13" t="inlineStr">
        <is>
          <t>A post-job score or review used to build trust, measure reliability, and improve future matching decisions.</t>
        </is>
      </c>
    </row>
    <row r="14">
      <c r="A14" t="inlineStr">
        <is>
          <t>Dispute</t>
        </is>
      </c>
      <c r="B14" t="inlineStr">
        <is>
          <t>A reported disagreement about price, quality, scope, completion, behavior, payment, or other job-related concerns.</t>
        </is>
      </c>
    </row>
    <row r="15">
      <c r="A15" t="inlineStr">
        <is>
          <t>Lead Credit</t>
        </is>
      </c>
      <c r="B15" t="inlineStr">
        <is>
          <t>A future monetization unit that may allow providers to access or respond to qualified service opportunities.</t>
        </is>
      </c>
    </row>
    <row r="16">
      <c r="A16" t="inlineStr">
        <is>
          <t>Premium Profile</t>
        </is>
      </c>
      <c r="B16" t="inlineStr">
        <is>
          <t>A future paid provider profile upgrade that may improve visibility, presentation, or trust signals.</t>
        </is>
      </c>
    </row>
    <row r="17">
      <c r="A17" t="inlineStr">
        <is>
          <t>Business Account</t>
        </is>
      </c>
      <c r="B17" t="inlineStr">
        <is>
          <t>A future account type for shops, small businesses, teams, or organizations with recurring service needs or multiple providers.</t>
        </is>
      </c>
    </row>
    <row r="18">
      <c r="A18" t="inlineStr">
        <is>
          <t>Go/No-Go Criteria</t>
        </is>
      </c>
      <c r="B18" t="inlineStr">
        <is>
          <t>The evidence-based thresholds used to decide whether to proceed, narrow the scope, redesign, or pause.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" t="inlineStr">
        <is>
          <t>KAILA Financial Model - Assumptions</t>
        </is>
      </c>
    </row>
    <row r="2" ht="22" customHeight="1">
      <c r="A2" s="2" t="inlineStr">
        <is>
          <t>Pilot City</t>
        </is>
      </c>
      <c r="B2" s="2" t="inlineStr">
        <is>
          <t>Base Case</t>
        </is>
      </c>
      <c r="C2" s="2" t="inlineStr">
        <is>
          <t>Source/Note</t>
        </is>
      </c>
    </row>
    <row r="3" ht="22" customHeight="1">
      <c r="A3" s="3" t="inlineStr">
        <is>
          <t>Starting Active Providers</t>
        </is>
      </c>
      <c r="B3" s="4" t="n">
        <v>50</v>
      </c>
      <c r="C3" s="5" t="inlineStr">
        <is>
          <t>Internal assumption - target based on provider recruitment plan</t>
        </is>
      </c>
    </row>
    <row r="4" ht="22" customHeight="1">
      <c r="A4" s="3" t="inlineStr">
        <is>
          <t>Starting Monthly Requests</t>
        </is>
      </c>
      <c r="B4" s="4" t="n">
        <v>30</v>
      </c>
      <c r="C4" s="5" t="inlineStr">
        <is>
          <t>Internal assumption - target based on validation plan</t>
        </is>
      </c>
    </row>
    <row r="5" ht="22" customHeight="1">
      <c r="A5" s="3" t="inlineStr">
        <is>
          <t>Monthly Request Growth</t>
        </is>
      </c>
      <c r="B5" s="4" t="n">
        <v>0.12</v>
      </c>
      <c r="C5" s="5" t="inlineStr">
        <is>
          <t>Internal assumption - editable</t>
        </is>
      </c>
    </row>
    <row r="6" ht="22" customHeight="1">
      <c r="A6" s="3" t="inlineStr">
        <is>
          <t>Completion Rate</t>
        </is>
      </c>
      <c r="B6" s="4" t="n">
        <v>0.5</v>
      </c>
      <c r="C6" s="5" t="inlineStr">
        <is>
          <t>Internal assumption - percentage of posted requests completed</t>
        </is>
      </c>
    </row>
    <row r="7" ht="22" customHeight="1">
      <c r="A7" s="3" t="inlineStr">
        <is>
          <t>Average Job Value PHP</t>
        </is>
      </c>
      <c r="B7" s="4" t="n">
        <v>700</v>
      </c>
      <c r="C7" s="5" t="inlineStr">
        <is>
          <t>Internal assumption - blended average across small services</t>
        </is>
      </c>
    </row>
    <row r="8" ht="22" customHeight="1">
      <c r="A8" s="3" t="inlineStr">
        <is>
          <t>Commission Rate</t>
        </is>
      </c>
      <c r="B8" s="4" t="n">
        <v>0</v>
      </c>
      <c r="C8" s="5" t="inlineStr">
        <is>
          <t>Phase 1 free; change after monetization</t>
        </is>
      </c>
    </row>
    <row r="9" ht="22" customHeight="1">
      <c r="A9" s="3" t="inlineStr">
        <is>
          <t>Lead Credit Revenue per Provider PHP</t>
        </is>
      </c>
      <c r="B9" s="4" t="n">
        <v>0</v>
      </c>
      <c r="C9" s="5" t="inlineStr">
        <is>
          <t>Phase 1 free; optional later</t>
        </is>
      </c>
    </row>
    <row r="10" ht="22" customHeight="1">
      <c r="A10" s="3" t="inlineStr">
        <is>
          <t>Premium Provider Fee PHP/mo</t>
        </is>
      </c>
      <c r="B10" s="4" t="n">
        <v>199</v>
      </c>
      <c r="C10" s="5" t="inlineStr">
        <is>
          <t>Optional premium visibility product</t>
        </is>
      </c>
    </row>
    <row r="11" ht="22" customHeight="1">
      <c r="A11" s="3" t="inlineStr">
        <is>
          <t>Premium Provider Adoption</t>
        </is>
      </c>
      <c r="B11" s="4" t="n">
        <v>0</v>
      </c>
      <c r="C11" s="5" t="inlineStr">
        <is>
          <t>Phase 1 free; change in scenario</t>
        </is>
      </c>
    </row>
    <row r="12" ht="22" customHeight="1">
      <c r="A12" s="3" t="inlineStr">
        <is>
          <t>Hosting/Tools PHP/mo</t>
        </is>
      </c>
      <c r="B12" s="4" t="n">
        <v>500</v>
      </c>
      <c r="C12" s="5" t="inlineStr">
        <is>
          <t>Lean pilot: free tiers/current hosting where possible</t>
        </is>
      </c>
    </row>
    <row r="13" ht="22" customHeight="1">
      <c r="A13" s="3" t="inlineStr">
        <is>
          <t>Marketing PHP/mo</t>
        </is>
      </c>
      <c r="B13" s="4" t="n">
        <v>1000</v>
      </c>
      <c r="C13" s="5" t="inlineStr">
        <is>
          <t>Facebook page, organic posting, small boosts only when needed</t>
        </is>
      </c>
    </row>
    <row r="14" ht="22" customHeight="1">
      <c r="A14" s="3" t="inlineStr">
        <is>
          <t>Operations Support PHP/mo</t>
        </is>
      </c>
      <c r="B14" s="4" t="n">
        <v>1000</v>
      </c>
      <c r="C14" s="5" t="inlineStr">
        <is>
          <t>Founder-led operations; small allowance for field support</t>
        </is>
      </c>
    </row>
    <row r="15" ht="22" customHeight="1">
      <c r="A15" s="3" t="inlineStr">
        <is>
          <t>Legal/Admin PHP/mo</t>
        </is>
      </c>
      <c r="B15" s="4" t="n">
        <v>0</v>
      </c>
      <c r="C15" s="5" t="inlineStr">
        <is>
          <t>Defer formal admin spend during validation unless required</t>
        </is>
      </c>
    </row>
    <row r="16" ht="22" customHeight="1">
      <c r="A16" s="3" t="inlineStr">
        <is>
          <t>SMS/Notification PHP per Request</t>
        </is>
      </c>
      <c r="B16" s="4" t="n">
        <v>0</v>
      </c>
      <c r="C16" s="5" t="inlineStr">
        <is>
          <t>Use in-app flow and Messenger during pilot</t>
        </is>
      </c>
    </row>
    <row r="17" ht="22" customHeight="1">
      <c r="A17" s="3" t="inlineStr">
        <is>
          <t>Development Cost PHP/mo</t>
        </is>
      </c>
      <c r="B17" s="4" t="n">
        <v>0</v>
      </c>
      <c r="C17" s="5" t="inlineStr">
        <is>
          <t>Browser MVP and native wrapper already built; founder-led polish</t>
        </is>
      </c>
    </row>
  </sheetData>
  <mergeCells count="1">
    <mergeCell ref="A1:E1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1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</cols>
  <sheetData>
    <row r="1" ht="22" customHeight="1">
      <c r="A1" s="1" t="inlineStr">
        <is>
          <t>36-Month Projection</t>
        </is>
      </c>
    </row>
    <row r="2" ht="22" customHeight="1">
      <c r="A2" s="1" t="inlineStr">
        <is>
          <t>Metric</t>
        </is>
      </c>
      <c r="B2" s="1" t="inlineStr">
        <is>
          <t>Month 1</t>
        </is>
      </c>
      <c r="C2" s="1" t="inlineStr">
        <is>
          <t>Month 2</t>
        </is>
      </c>
      <c r="D2" s="1" t="inlineStr">
        <is>
          <t>Month 3</t>
        </is>
      </c>
      <c r="E2" s="1" t="inlineStr">
        <is>
          <t>Month 4</t>
        </is>
      </c>
      <c r="F2" s="1" t="inlineStr">
        <is>
          <t>Month 5</t>
        </is>
      </c>
      <c r="G2" s="1" t="inlineStr">
        <is>
          <t>Month 6</t>
        </is>
      </c>
      <c r="H2" s="1" t="inlineStr">
        <is>
          <t>Month 7</t>
        </is>
      </c>
      <c r="I2" s="1" t="inlineStr">
        <is>
          <t>Month 8</t>
        </is>
      </c>
      <c r="J2" s="1" t="inlineStr">
        <is>
          <t>Month 9</t>
        </is>
      </c>
      <c r="K2" s="1" t="inlineStr">
        <is>
          <t>Month 10</t>
        </is>
      </c>
      <c r="L2" s="1" t="inlineStr">
        <is>
          <t>Month 11</t>
        </is>
      </c>
      <c r="M2" s="1" t="inlineStr">
        <is>
          <t>Month 12</t>
        </is>
      </c>
      <c r="N2" s="1" t="inlineStr">
        <is>
          <t>Month 13</t>
        </is>
      </c>
      <c r="O2" s="1" t="inlineStr">
        <is>
          <t>Month 14</t>
        </is>
      </c>
      <c r="P2" s="1" t="inlineStr">
        <is>
          <t>Month 15</t>
        </is>
      </c>
      <c r="Q2" s="1" t="inlineStr">
        <is>
          <t>Month 16</t>
        </is>
      </c>
      <c r="R2" s="1" t="inlineStr">
        <is>
          <t>Month 17</t>
        </is>
      </c>
      <c r="S2" s="1" t="inlineStr">
        <is>
          <t>Month 18</t>
        </is>
      </c>
      <c r="T2" s="1" t="inlineStr">
        <is>
          <t>Month 19</t>
        </is>
      </c>
      <c r="U2" s="1" t="inlineStr">
        <is>
          <t>Month 20</t>
        </is>
      </c>
      <c r="V2" s="1" t="inlineStr">
        <is>
          <t>Month 21</t>
        </is>
      </c>
      <c r="W2" s="1" t="inlineStr">
        <is>
          <t>Month 22</t>
        </is>
      </c>
      <c r="X2" s="1" t="inlineStr">
        <is>
          <t>Month 23</t>
        </is>
      </c>
      <c r="Y2" s="1" t="inlineStr">
        <is>
          <t>Month 24</t>
        </is>
      </c>
      <c r="Z2" s="1" t="inlineStr">
        <is>
          <t>Month 25</t>
        </is>
      </c>
      <c r="AA2" s="1" t="inlineStr">
        <is>
          <t>Month 26</t>
        </is>
      </c>
      <c r="AB2" s="1" t="inlineStr">
        <is>
          <t>Month 27</t>
        </is>
      </c>
      <c r="AC2" s="1" t="inlineStr">
        <is>
          <t>Month 28</t>
        </is>
      </c>
      <c r="AD2" s="1" t="inlineStr">
        <is>
          <t>Month 29</t>
        </is>
      </c>
      <c r="AE2" s="1" t="inlineStr">
        <is>
          <t>Month 30</t>
        </is>
      </c>
      <c r="AF2" s="1" t="inlineStr">
        <is>
          <t>Month 31</t>
        </is>
      </c>
      <c r="AG2" s="1" t="inlineStr">
        <is>
          <t>Month 32</t>
        </is>
      </c>
      <c r="AH2" s="1" t="inlineStr">
        <is>
          <t>Month 33</t>
        </is>
      </c>
      <c r="AI2" s="1" t="inlineStr">
        <is>
          <t>Month 34</t>
        </is>
      </c>
      <c r="AJ2" s="1" t="inlineStr">
        <is>
          <t>Month 35</t>
        </is>
      </c>
      <c r="AK2" s="1" t="inlineStr">
        <is>
          <t>Month 36</t>
        </is>
      </c>
    </row>
    <row r="3" ht="22" customHeight="1">
      <c r="A3" s="6" t="inlineStr">
        <is>
          <t>Active Providers</t>
        </is>
      </c>
      <c r="B3" s="15">
        <f>ROUND('Assumptions'!B3,0)</f>
        <v/>
      </c>
      <c r="C3" s="15">
        <f>ROUND(B3*1.05,0)</f>
        <v/>
      </c>
      <c r="D3" s="15">
        <f>ROUND(C3*1.05,0)</f>
        <v/>
      </c>
      <c r="E3" s="15">
        <f>ROUND(D3*1.05,0)</f>
        <v/>
      </c>
      <c r="F3" s="15">
        <f>ROUND(E3*1.05,0)</f>
        <v/>
      </c>
      <c r="G3" s="15">
        <f>ROUND(F3*1.05,0)</f>
        <v/>
      </c>
      <c r="H3" s="15">
        <f>ROUND(G3*1.05,0)</f>
        <v/>
      </c>
      <c r="I3" s="15">
        <f>ROUND(H3*1.05,0)</f>
        <v/>
      </c>
      <c r="J3" s="15">
        <f>ROUND(I3*1.05,0)</f>
        <v/>
      </c>
      <c r="K3" s="15">
        <f>ROUND(J3*1.05,0)</f>
        <v/>
      </c>
      <c r="L3" s="15">
        <f>ROUND(K3*1.05,0)</f>
        <v/>
      </c>
      <c r="M3" s="15">
        <f>ROUND(L3*1.05,0)</f>
        <v/>
      </c>
      <c r="N3" s="15">
        <f>ROUND(M3*1.05,0)</f>
        <v/>
      </c>
      <c r="O3" s="15">
        <f>ROUND(N3*1.05,0)</f>
        <v/>
      </c>
      <c r="P3" s="15">
        <f>ROUND(O3*1.05,0)</f>
        <v/>
      </c>
      <c r="Q3" s="15">
        <f>ROUND(P3*1.05,0)</f>
        <v/>
      </c>
      <c r="R3" s="15">
        <f>ROUND(Q3*1.05,0)</f>
        <v/>
      </c>
      <c r="S3" s="15">
        <f>ROUND(R3*1.05,0)</f>
        <v/>
      </c>
      <c r="T3" s="15">
        <f>ROUND(S3*1.05,0)</f>
        <v/>
      </c>
      <c r="U3" s="15">
        <f>ROUND(T3*1.05,0)</f>
        <v/>
      </c>
      <c r="V3" s="15">
        <f>ROUND(U3*1.05,0)</f>
        <v/>
      </c>
      <c r="W3" s="15">
        <f>ROUND(V3*1.05,0)</f>
        <v/>
      </c>
      <c r="X3" s="15">
        <f>ROUND(W3*1.05,0)</f>
        <v/>
      </c>
      <c r="Y3" s="15">
        <f>ROUND(X3*1.05,0)</f>
        <v/>
      </c>
      <c r="Z3" s="15">
        <f>ROUND(Y3*1.05,0)</f>
        <v/>
      </c>
      <c r="AA3" s="15">
        <f>ROUND(Z3*1.05,0)</f>
        <v/>
      </c>
      <c r="AB3" s="15">
        <f>ROUND(AA3*1.05,0)</f>
        <v/>
      </c>
      <c r="AC3" s="15">
        <f>ROUND(AB3*1.05,0)</f>
        <v/>
      </c>
      <c r="AD3" s="15">
        <f>ROUND(AC3*1.05,0)</f>
        <v/>
      </c>
      <c r="AE3" s="15">
        <f>ROUND(AD3*1.05,0)</f>
        <v/>
      </c>
      <c r="AF3" s="15">
        <f>ROUND(AE3*1.05,0)</f>
        <v/>
      </c>
      <c r="AG3" s="15">
        <f>ROUND(AF3*1.05,0)</f>
        <v/>
      </c>
      <c r="AH3" s="15">
        <f>ROUND(AG3*1.05,0)</f>
        <v/>
      </c>
      <c r="AI3" s="15">
        <f>ROUND(AH3*1.05,0)</f>
        <v/>
      </c>
      <c r="AJ3" s="15">
        <f>ROUND(AI3*1.05,0)</f>
        <v/>
      </c>
      <c r="AK3" s="15">
        <f>ROUND(AJ3*1.05,0)</f>
        <v/>
      </c>
    </row>
    <row r="4" ht="22" customHeight="1">
      <c r="A4" s="6" t="inlineStr">
        <is>
          <t>Posted Requests</t>
        </is>
      </c>
      <c r="B4" s="15">
        <f>ROUND('Assumptions'!B4,0)</f>
        <v/>
      </c>
      <c r="C4" s="15">
        <f>ROUND(B4*(1+'Assumptions'!B5),0)</f>
        <v/>
      </c>
      <c r="D4" s="15">
        <f>ROUND(C4*(1+'Assumptions'!B5),0)</f>
        <v/>
      </c>
      <c r="E4" s="15">
        <f>ROUND(D4*(1+'Assumptions'!B5),0)</f>
        <v/>
      </c>
      <c r="F4" s="15">
        <f>ROUND(E4*(1+'Assumptions'!B5),0)</f>
        <v/>
      </c>
      <c r="G4" s="15">
        <f>ROUND(F4*(1+'Assumptions'!B5),0)</f>
        <v/>
      </c>
      <c r="H4" s="15">
        <f>ROUND(G4*(1+'Assumptions'!B5),0)</f>
        <v/>
      </c>
      <c r="I4" s="15">
        <f>ROUND(H4*(1+'Assumptions'!B5),0)</f>
        <v/>
      </c>
      <c r="J4" s="15">
        <f>ROUND(I4*(1+'Assumptions'!B5),0)</f>
        <v/>
      </c>
      <c r="K4" s="15">
        <f>ROUND(J4*(1+'Assumptions'!B5),0)</f>
        <v/>
      </c>
      <c r="L4" s="15">
        <f>ROUND(K4*(1+'Assumptions'!B5),0)</f>
        <v/>
      </c>
      <c r="M4" s="15">
        <f>ROUND(L4*(1+'Assumptions'!B5),0)</f>
        <v/>
      </c>
      <c r="N4" s="15">
        <f>ROUND(M4*(1+'Assumptions'!B5),0)</f>
        <v/>
      </c>
      <c r="O4" s="15">
        <f>ROUND(N4*(1+'Assumptions'!B5),0)</f>
        <v/>
      </c>
      <c r="P4" s="15">
        <f>ROUND(O4*(1+'Assumptions'!B5),0)</f>
        <v/>
      </c>
      <c r="Q4" s="15">
        <f>ROUND(P4*(1+'Assumptions'!B5),0)</f>
        <v/>
      </c>
      <c r="R4" s="15">
        <f>ROUND(Q4*(1+'Assumptions'!B5),0)</f>
        <v/>
      </c>
      <c r="S4" s="15">
        <f>ROUND(R4*(1+'Assumptions'!B5),0)</f>
        <v/>
      </c>
      <c r="T4" s="15">
        <f>ROUND(S4*(1+'Assumptions'!B5),0)</f>
        <v/>
      </c>
      <c r="U4" s="15">
        <f>ROUND(T4*(1+'Assumptions'!B5),0)</f>
        <v/>
      </c>
      <c r="V4" s="15">
        <f>ROUND(U4*(1+'Assumptions'!B5),0)</f>
        <v/>
      </c>
      <c r="W4" s="15">
        <f>ROUND(V4*(1+'Assumptions'!B5),0)</f>
        <v/>
      </c>
      <c r="X4" s="15">
        <f>ROUND(W4*(1+'Assumptions'!B5),0)</f>
        <v/>
      </c>
      <c r="Y4" s="15">
        <f>ROUND(X4*(1+'Assumptions'!B5),0)</f>
        <v/>
      </c>
      <c r="Z4" s="15">
        <f>ROUND(Y4*(1+'Assumptions'!B5),0)</f>
        <v/>
      </c>
      <c r="AA4" s="15">
        <f>ROUND(Z4*(1+'Assumptions'!B5),0)</f>
        <v/>
      </c>
      <c r="AB4" s="15">
        <f>ROUND(AA4*(1+'Assumptions'!B5),0)</f>
        <v/>
      </c>
      <c r="AC4" s="15">
        <f>ROUND(AB4*(1+'Assumptions'!B5),0)</f>
        <v/>
      </c>
      <c r="AD4" s="15">
        <f>ROUND(AC4*(1+'Assumptions'!B5),0)</f>
        <v/>
      </c>
      <c r="AE4" s="15">
        <f>ROUND(AD4*(1+'Assumptions'!B5),0)</f>
        <v/>
      </c>
      <c r="AF4" s="15">
        <f>ROUND(AE4*(1+'Assumptions'!B5),0)</f>
        <v/>
      </c>
      <c r="AG4" s="15">
        <f>ROUND(AF4*(1+'Assumptions'!B5),0)</f>
        <v/>
      </c>
      <c r="AH4" s="15">
        <f>ROUND(AG4*(1+'Assumptions'!B5),0)</f>
        <v/>
      </c>
      <c r="AI4" s="15">
        <f>ROUND(AH4*(1+'Assumptions'!B5),0)</f>
        <v/>
      </c>
      <c r="AJ4" s="15">
        <f>ROUND(AI4*(1+'Assumptions'!B5),0)</f>
        <v/>
      </c>
      <c r="AK4" s="15">
        <f>ROUND(AJ4*(1+'Assumptions'!B5),0)</f>
        <v/>
      </c>
    </row>
    <row r="5" ht="22" customHeight="1">
      <c r="A5" s="6" t="inlineStr">
        <is>
          <t>Completed Jobs</t>
        </is>
      </c>
      <c r="B5" s="15">
        <f>ROUND(B4*'Assumptions'!B6,0)</f>
        <v/>
      </c>
      <c r="C5" s="15">
        <f>ROUND(C4*'Assumptions'!B6,0)</f>
        <v/>
      </c>
      <c r="D5" s="15">
        <f>ROUND(D4*'Assumptions'!B6,0)</f>
        <v/>
      </c>
      <c r="E5" s="15">
        <f>ROUND(E4*'Assumptions'!B6,0)</f>
        <v/>
      </c>
      <c r="F5" s="15">
        <f>ROUND(F4*'Assumptions'!B6,0)</f>
        <v/>
      </c>
      <c r="G5" s="15">
        <f>ROUND(G4*'Assumptions'!B6,0)</f>
        <v/>
      </c>
      <c r="H5" s="15">
        <f>ROUND(H4*'Assumptions'!B6,0)</f>
        <v/>
      </c>
      <c r="I5" s="15">
        <f>ROUND(I4*'Assumptions'!B6,0)</f>
        <v/>
      </c>
      <c r="J5" s="15">
        <f>ROUND(J4*'Assumptions'!B6,0)</f>
        <v/>
      </c>
      <c r="K5" s="15">
        <f>ROUND(K4*'Assumptions'!B6,0)</f>
        <v/>
      </c>
      <c r="L5" s="15">
        <f>ROUND(L4*'Assumptions'!B6,0)</f>
        <v/>
      </c>
      <c r="M5" s="15">
        <f>ROUND(M4*'Assumptions'!B6,0)</f>
        <v/>
      </c>
      <c r="N5" s="15">
        <f>ROUND(N4*'Assumptions'!B6,0)</f>
        <v/>
      </c>
      <c r="O5" s="15">
        <f>ROUND(O4*'Assumptions'!B6,0)</f>
        <v/>
      </c>
      <c r="P5" s="15">
        <f>ROUND(P4*'Assumptions'!B6,0)</f>
        <v/>
      </c>
      <c r="Q5" s="15">
        <f>ROUND(Q4*'Assumptions'!B6,0)</f>
        <v/>
      </c>
      <c r="R5" s="15">
        <f>ROUND(R4*'Assumptions'!B6,0)</f>
        <v/>
      </c>
      <c r="S5" s="15">
        <f>ROUND(S4*'Assumptions'!B6,0)</f>
        <v/>
      </c>
      <c r="T5" s="15">
        <f>ROUND(T4*'Assumptions'!B6,0)</f>
        <v/>
      </c>
      <c r="U5" s="15">
        <f>ROUND(U4*'Assumptions'!B6,0)</f>
        <v/>
      </c>
      <c r="V5" s="15">
        <f>ROUND(V4*'Assumptions'!B6,0)</f>
        <v/>
      </c>
      <c r="W5" s="15">
        <f>ROUND(W4*'Assumptions'!B6,0)</f>
        <v/>
      </c>
      <c r="X5" s="15">
        <f>ROUND(X4*'Assumptions'!B6,0)</f>
        <v/>
      </c>
      <c r="Y5" s="15">
        <f>ROUND(Y4*'Assumptions'!B6,0)</f>
        <v/>
      </c>
      <c r="Z5" s="15">
        <f>ROUND(Z4*'Assumptions'!B6,0)</f>
        <v/>
      </c>
      <c r="AA5" s="15">
        <f>ROUND(AA4*'Assumptions'!B6,0)</f>
        <v/>
      </c>
      <c r="AB5" s="15">
        <f>ROUND(AB4*'Assumptions'!B6,0)</f>
        <v/>
      </c>
      <c r="AC5" s="15">
        <f>ROUND(AC4*'Assumptions'!B6,0)</f>
        <v/>
      </c>
      <c r="AD5" s="15">
        <f>ROUND(AD4*'Assumptions'!B6,0)</f>
        <v/>
      </c>
      <c r="AE5" s="15">
        <f>ROUND(AE4*'Assumptions'!B6,0)</f>
        <v/>
      </c>
      <c r="AF5" s="15">
        <f>ROUND(AF4*'Assumptions'!B6,0)</f>
        <v/>
      </c>
      <c r="AG5" s="15">
        <f>ROUND(AG4*'Assumptions'!B6,0)</f>
        <v/>
      </c>
      <c r="AH5" s="15">
        <f>ROUND(AH4*'Assumptions'!B6,0)</f>
        <v/>
      </c>
      <c r="AI5" s="15">
        <f>ROUND(AI4*'Assumptions'!B6,0)</f>
        <v/>
      </c>
      <c r="AJ5" s="15">
        <f>ROUND(AJ4*'Assumptions'!B6,0)</f>
        <v/>
      </c>
      <c r="AK5" s="15">
        <f>ROUND(AK4*'Assumptions'!B6,0)</f>
        <v/>
      </c>
    </row>
    <row r="6" ht="22" customHeight="1">
      <c r="A6" s="6" t="inlineStr">
        <is>
          <t>GMV PHP</t>
        </is>
      </c>
      <c r="B6" s="15">
        <f>ROUND(B5*'Assumptions'!B7,0)</f>
        <v/>
      </c>
      <c r="C6" s="15">
        <f>ROUND(C5*'Assumptions'!B7,0)</f>
        <v/>
      </c>
      <c r="D6" s="15">
        <f>ROUND(D5*'Assumptions'!B7,0)</f>
        <v/>
      </c>
      <c r="E6" s="15">
        <f>ROUND(E5*'Assumptions'!B7,0)</f>
        <v/>
      </c>
      <c r="F6" s="15">
        <f>ROUND(F5*'Assumptions'!B7,0)</f>
        <v/>
      </c>
      <c r="G6" s="15">
        <f>ROUND(G5*'Assumptions'!B7,0)</f>
        <v/>
      </c>
      <c r="H6" s="15">
        <f>ROUND(H5*'Assumptions'!B7,0)</f>
        <v/>
      </c>
      <c r="I6" s="15">
        <f>ROUND(I5*'Assumptions'!B7,0)</f>
        <v/>
      </c>
      <c r="J6" s="15">
        <f>ROUND(J5*'Assumptions'!B7,0)</f>
        <v/>
      </c>
      <c r="K6" s="15">
        <f>ROUND(K5*'Assumptions'!B7,0)</f>
        <v/>
      </c>
      <c r="L6" s="15">
        <f>ROUND(L5*'Assumptions'!B7,0)</f>
        <v/>
      </c>
      <c r="M6" s="15">
        <f>ROUND(M5*'Assumptions'!B7,0)</f>
        <v/>
      </c>
      <c r="N6" s="15">
        <f>ROUND(N5*'Assumptions'!B7,0)</f>
        <v/>
      </c>
      <c r="O6" s="15">
        <f>ROUND(O5*'Assumptions'!B7,0)</f>
        <v/>
      </c>
      <c r="P6" s="15">
        <f>ROUND(P5*'Assumptions'!B7,0)</f>
        <v/>
      </c>
      <c r="Q6" s="15">
        <f>ROUND(Q5*'Assumptions'!B7,0)</f>
        <v/>
      </c>
      <c r="R6" s="15">
        <f>ROUND(R5*'Assumptions'!B7,0)</f>
        <v/>
      </c>
      <c r="S6" s="15">
        <f>ROUND(S5*'Assumptions'!B7,0)</f>
        <v/>
      </c>
      <c r="T6" s="15">
        <f>ROUND(T5*'Assumptions'!B7,0)</f>
        <v/>
      </c>
      <c r="U6" s="15">
        <f>ROUND(U5*'Assumptions'!B7,0)</f>
        <v/>
      </c>
      <c r="V6" s="15">
        <f>ROUND(V5*'Assumptions'!B7,0)</f>
        <v/>
      </c>
      <c r="W6" s="15">
        <f>ROUND(W5*'Assumptions'!B7,0)</f>
        <v/>
      </c>
      <c r="X6" s="15">
        <f>ROUND(X5*'Assumptions'!B7,0)</f>
        <v/>
      </c>
      <c r="Y6" s="15">
        <f>ROUND(Y5*'Assumptions'!B7,0)</f>
        <v/>
      </c>
      <c r="Z6" s="15">
        <f>ROUND(Z5*'Assumptions'!B7,0)</f>
        <v/>
      </c>
      <c r="AA6" s="15">
        <f>ROUND(AA5*'Assumptions'!B7,0)</f>
        <v/>
      </c>
      <c r="AB6" s="15">
        <f>ROUND(AB5*'Assumptions'!B7,0)</f>
        <v/>
      </c>
      <c r="AC6" s="15">
        <f>ROUND(AC5*'Assumptions'!B7,0)</f>
        <v/>
      </c>
      <c r="AD6" s="15">
        <f>ROUND(AD5*'Assumptions'!B7,0)</f>
        <v/>
      </c>
      <c r="AE6" s="15">
        <f>ROUND(AE5*'Assumptions'!B7,0)</f>
        <v/>
      </c>
      <c r="AF6" s="15">
        <f>ROUND(AF5*'Assumptions'!B7,0)</f>
        <v/>
      </c>
      <c r="AG6" s="15">
        <f>ROUND(AG5*'Assumptions'!B7,0)</f>
        <v/>
      </c>
      <c r="AH6" s="15">
        <f>ROUND(AH5*'Assumptions'!B7,0)</f>
        <v/>
      </c>
      <c r="AI6" s="15">
        <f>ROUND(AI5*'Assumptions'!B7,0)</f>
        <v/>
      </c>
      <c r="AJ6" s="15">
        <f>ROUND(AJ5*'Assumptions'!B7,0)</f>
        <v/>
      </c>
      <c r="AK6" s="15">
        <f>ROUND(AK5*'Assumptions'!B7,0)</f>
        <v/>
      </c>
    </row>
    <row r="7" ht="22" customHeight="1">
      <c r="A7" s="9" t="inlineStr">
        <is>
          <t>Commission Revenue PHP</t>
        </is>
      </c>
      <c r="B7" s="15">
        <f>ROUND(B6*'Assumptions'!B8,0)</f>
        <v/>
      </c>
      <c r="C7" s="15">
        <f>ROUND(C6*'Assumptions'!B8,0)</f>
        <v/>
      </c>
      <c r="D7" s="15">
        <f>ROUND(D6*'Assumptions'!B8,0)</f>
        <v/>
      </c>
      <c r="E7" s="15">
        <f>ROUND(E6*'Assumptions'!B8,0)</f>
        <v/>
      </c>
      <c r="F7" s="15">
        <f>ROUND(F6*'Assumptions'!B8,0)</f>
        <v/>
      </c>
      <c r="G7" s="15">
        <f>ROUND(G6*'Assumptions'!B8,0)</f>
        <v/>
      </c>
      <c r="H7" s="15">
        <f>ROUND(H6*'Assumptions'!B8,0)</f>
        <v/>
      </c>
      <c r="I7" s="15">
        <f>ROUND(I6*'Assumptions'!B8,0)</f>
        <v/>
      </c>
      <c r="J7" s="15">
        <f>ROUND(J6*'Assumptions'!B8,0)</f>
        <v/>
      </c>
      <c r="K7" s="15">
        <f>ROUND(K6*'Assumptions'!B8,0)</f>
        <v/>
      </c>
      <c r="L7" s="15">
        <f>ROUND(L6*'Assumptions'!B8,0)</f>
        <v/>
      </c>
      <c r="M7" s="15">
        <f>ROUND(M6*'Assumptions'!B8,0)</f>
        <v/>
      </c>
      <c r="N7" s="15">
        <f>ROUND(N6*'Assumptions'!B8,0)</f>
        <v/>
      </c>
      <c r="O7" s="15">
        <f>ROUND(O6*'Assumptions'!B8,0)</f>
        <v/>
      </c>
      <c r="P7" s="15">
        <f>ROUND(P6*'Assumptions'!B8,0)</f>
        <v/>
      </c>
      <c r="Q7" s="15">
        <f>ROUND(Q6*'Assumptions'!B8,0)</f>
        <v/>
      </c>
      <c r="R7" s="15">
        <f>ROUND(R6*'Assumptions'!B8,0)</f>
        <v/>
      </c>
      <c r="S7" s="15">
        <f>ROUND(S6*'Assumptions'!B8,0)</f>
        <v/>
      </c>
      <c r="T7" s="15">
        <f>ROUND(T6*'Assumptions'!B8,0)</f>
        <v/>
      </c>
      <c r="U7" s="15">
        <f>ROUND(U6*'Assumptions'!B8,0)</f>
        <v/>
      </c>
      <c r="V7" s="15">
        <f>ROUND(V6*'Assumptions'!B8,0)</f>
        <v/>
      </c>
      <c r="W7" s="15">
        <f>ROUND(W6*'Assumptions'!B8,0)</f>
        <v/>
      </c>
      <c r="X7" s="15">
        <f>ROUND(X6*'Assumptions'!B8,0)</f>
        <v/>
      </c>
      <c r="Y7" s="15">
        <f>ROUND(Y6*'Assumptions'!B8,0)</f>
        <v/>
      </c>
      <c r="Z7" s="15">
        <f>ROUND(Z6*'Assumptions'!B8,0)</f>
        <v/>
      </c>
      <c r="AA7" s="15">
        <f>ROUND(AA6*'Assumptions'!B8,0)</f>
        <v/>
      </c>
      <c r="AB7" s="15">
        <f>ROUND(AB6*'Assumptions'!B8,0)</f>
        <v/>
      </c>
      <c r="AC7" s="15">
        <f>ROUND(AC6*'Assumptions'!B8,0)</f>
        <v/>
      </c>
      <c r="AD7" s="15">
        <f>ROUND(AD6*'Assumptions'!B8,0)</f>
        <v/>
      </c>
      <c r="AE7" s="15">
        <f>ROUND(AE6*'Assumptions'!B8,0)</f>
        <v/>
      </c>
      <c r="AF7" s="15">
        <f>ROUND(AF6*'Assumptions'!B8,0)</f>
        <v/>
      </c>
      <c r="AG7" s="15">
        <f>ROUND(AG6*'Assumptions'!B8,0)</f>
        <v/>
      </c>
      <c r="AH7" s="15">
        <f>ROUND(AH6*'Assumptions'!B8,0)</f>
        <v/>
      </c>
      <c r="AI7" s="15">
        <f>ROUND(AI6*'Assumptions'!B8,0)</f>
        <v/>
      </c>
      <c r="AJ7" s="15">
        <f>ROUND(AJ6*'Assumptions'!B8,0)</f>
        <v/>
      </c>
      <c r="AK7" s="15">
        <f>ROUND(AK6*'Assumptions'!B8,0)</f>
        <v/>
      </c>
    </row>
    <row r="8" ht="22" customHeight="1">
      <c r="A8" s="9" t="inlineStr">
        <is>
          <t>Lead Credit Revenue PHP</t>
        </is>
      </c>
      <c r="B8" s="15">
        <f>ROUND(B3*'Assumptions'!B9,0)</f>
        <v/>
      </c>
      <c r="C8" s="15">
        <f>ROUND(C3*'Assumptions'!B9,0)</f>
        <v/>
      </c>
      <c r="D8" s="15">
        <f>ROUND(D3*'Assumptions'!B9,0)</f>
        <v/>
      </c>
      <c r="E8" s="15">
        <f>ROUND(E3*'Assumptions'!B9,0)</f>
        <v/>
      </c>
      <c r="F8" s="15">
        <f>ROUND(F3*'Assumptions'!B9,0)</f>
        <v/>
      </c>
      <c r="G8" s="15">
        <f>ROUND(G3*'Assumptions'!B9,0)</f>
        <v/>
      </c>
      <c r="H8" s="15">
        <f>ROUND(H3*'Assumptions'!B9,0)</f>
        <v/>
      </c>
      <c r="I8" s="15">
        <f>ROUND(I3*'Assumptions'!B9,0)</f>
        <v/>
      </c>
      <c r="J8" s="15">
        <f>ROUND(J3*'Assumptions'!B9,0)</f>
        <v/>
      </c>
      <c r="K8" s="15">
        <f>ROUND(K3*'Assumptions'!B9,0)</f>
        <v/>
      </c>
      <c r="L8" s="15">
        <f>ROUND(L3*'Assumptions'!B9,0)</f>
        <v/>
      </c>
      <c r="M8" s="15">
        <f>ROUND(M3*'Assumptions'!B9,0)</f>
        <v/>
      </c>
      <c r="N8" s="15">
        <f>ROUND(N3*'Assumptions'!B9,0)</f>
        <v/>
      </c>
      <c r="O8" s="15">
        <f>ROUND(O3*'Assumptions'!B9,0)</f>
        <v/>
      </c>
      <c r="P8" s="15">
        <f>ROUND(P3*'Assumptions'!B9,0)</f>
        <v/>
      </c>
      <c r="Q8" s="15">
        <f>ROUND(Q3*'Assumptions'!B9,0)</f>
        <v/>
      </c>
      <c r="R8" s="15">
        <f>ROUND(R3*'Assumptions'!B9,0)</f>
        <v/>
      </c>
      <c r="S8" s="15">
        <f>ROUND(S3*'Assumptions'!B9,0)</f>
        <v/>
      </c>
      <c r="T8" s="15">
        <f>ROUND(T3*'Assumptions'!B9,0)</f>
        <v/>
      </c>
      <c r="U8" s="15">
        <f>ROUND(U3*'Assumptions'!B9,0)</f>
        <v/>
      </c>
      <c r="V8" s="15">
        <f>ROUND(V3*'Assumptions'!B9,0)</f>
        <v/>
      </c>
      <c r="W8" s="15">
        <f>ROUND(W3*'Assumptions'!B9,0)</f>
        <v/>
      </c>
      <c r="X8" s="15">
        <f>ROUND(X3*'Assumptions'!B9,0)</f>
        <v/>
      </c>
      <c r="Y8" s="15">
        <f>ROUND(Y3*'Assumptions'!B9,0)</f>
        <v/>
      </c>
      <c r="Z8" s="15">
        <f>ROUND(Z3*'Assumptions'!B9,0)</f>
        <v/>
      </c>
      <c r="AA8" s="15">
        <f>ROUND(AA3*'Assumptions'!B9,0)</f>
        <v/>
      </c>
      <c r="AB8" s="15">
        <f>ROUND(AB3*'Assumptions'!B9,0)</f>
        <v/>
      </c>
      <c r="AC8" s="15">
        <f>ROUND(AC3*'Assumptions'!B9,0)</f>
        <v/>
      </c>
      <c r="AD8" s="15">
        <f>ROUND(AD3*'Assumptions'!B9,0)</f>
        <v/>
      </c>
      <c r="AE8" s="15">
        <f>ROUND(AE3*'Assumptions'!B9,0)</f>
        <v/>
      </c>
      <c r="AF8" s="15">
        <f>ROUND(AF3*'Assumptions'!B9,0)</f>
        <v/>
      </c>
      <c r="AG8" s="15">
        <f>ROUND(AG3*'Assumptions'!B9,0)</f>
        <v/>
      </c>
      <c r="AH8" s="15">
        <f>ROUND(AH3*'Assumptions'!B9,0)</f>
        <v/>
      </c>
      <c r="AI8" s="15">
        <f>ROUND(AI3*'Assumptions'!B9,0)</f>
        <v/>
      </c>
      <c r="AJ8" s="15">
        <f>ROUND(AJ3*'Assumptions'!B9,0)</f>
        <v/>
      </c>
      <c r="AK8" s="15">
        <f>ROUND(AK3*'Assumptions'!B9,0)</f>
        <v/>
      </c>
    </row>
    <row r="9" ht="22" customHeight="1">
      <c r="A9" s="9" t="inlineStr">
        <is>
          <t>Premium Revenue PHP</t>
        </is>
      </c>
      <c r="B9" s="15">
        <f>ROUND(B3*'Assumptions'!B10*'Assumptions'!B11,0)</f>
        <v/>
      </c>
      <c r="C9" s="15">
        <f>ROUND(C3*'Assumptions'!B10*'Assumptions'!B11,0)</f>
        <v/>
      </c>
      <c r="D9" s="15">
        <f>ROUND(D3*'Assumptions'!B10*'Assumptions'!B11,0)</f>
        <v/>
      </c>
      <c r="E9" s="15">
        <f>ROUND(E3*'Assumptions'!B10*'Assumptions'!B11,0)</f>
        <v/>
      </c>
      <c r="F9" s="15">
        <f>ROUND(F3*'Assumptions'!B10*'Assumptions'!B11,0)</f>
        <v/>
      </c>
      <c r="G9" s="15">
        <f>ROUND(G3*'Assumptions'!B10*'Assumptions'!B11,0)</f>
        <v/>
      </c>
      <c r="H9" s="15">
        <f>ROUND(H3*'Assumptions'!B10*'Assumptions'!B11,0)</f>
        <v/>
      </c>
      <c r="I9" s="15">
        <f>ROUND(I3*'Assumptions'!B10*'Assumptions'!B11,0)</f>
        <v/>
      </c>
      <c r="J9" s="15">
        <f>ROUND(J3*'Assumptions'!B10*'Assumptions'!B11,0)</f>
        <v/>
      </c>
      <c r="K9" s="15">
        <f>ROUND(K3*'Assumptions'!B10*'Assumptions'!B11,0)</f>
        <v/>
      </c>
      <c r="L9" s="15">
        <f>ROUND(L3*'Assumptions'!B10*'Assumptions'!B11,0)</f>
        <v/>
      </c>
      <c r="M9" s="15">
        <f>ROUND(M3*'Assumptions'!B10*'Assumptions'!B11,0)</f>
        <v/>
      </c>
      <c r="N9" s="15">
        <f>ROUND(N3*'Assumptions'!B10*'Assumptions'!B11,0)</f>
        <v/>
      </c>
      <c r="O9" s="15">
        <f>ROUND(O3*'Assumptions'!B10*'Assumptions'!B11,0)</f>
        <v/>
      </c>
      <c r="P9" s="15">
        <f>ROUND(P3*'Assumptions'!B10*'Assumptions'!B11,0)</f>
        <v/>
      </c>
      <c r="Q9" s="15">
        <f>ROUND(Q3*'Assumptions'!B10*'Assumptions'!B11,0)</f>
        <v/>
      </c>
      <c r="R9" s="15">
        <f>ROUND(R3*'Assumptions'!B10*'Assumptions'!B11,0)</f>
        <v/>
      </c>
      <c r="S9" s="15">
        <f>ROUND(S3*'Assumptions'!B10*'Assumptions'!B11,0)</f>
        <v/>
      </c>
      <c r="T9" s="15">
        <f>ROUND(T3*'Assumptions'!B10*'Assumptions'!B11,0)</f>
        <v/>
      </c>
      <c r="U9" s="15">
        <f>ROUND(U3*'Assumptions'!B10*'Assumptions'!B11,0)</f>
        <v/>
      </c>
      <c r="V9" s="15">
        <f>ROUND(V3*'Assumptions'!B10*'Assumptions'!B11,0)</f>
        <v/>
      </c>
      <c r="W9" s="15">
        <f>ROUND(W3*'Assumptions'!B10*'Assumptions'!B11,0)</f>
        <v/>
      </c>
      <c r="X9" s="15">
        <f>ROUND(X3*'Assumptions'!B10*'Assumptions'!B11,0)</f>
        <v/>
      </c>
      <c r="Y9" s="15">
        <f>ROUND(Y3*'Assumptions'!B10*'Assumptions'!B11,0)</f>
        <v/>
      </c>
      <c r="Z9" s="15">
        <f>ROUND(Z3*'Assumptions'!B10*'Assumptions'!B11,0)</f>
        <v/>
      </c>
      <c r="AA9" s="15">
        <f>ROUND(AA3*'Assumptions'!B10*'Assumptions'!B11,0)</f>
        <v/>
      </c>
      <c r="AB9" s="15">
        <f>ROUND(AB3*'Assumptions'!B10*'Assumptions'!B11,0)</f>
        <v/>
      </c>
      <c r="AC9" s="15">
        <f>ROUND(AC3*'Assumptions'!B10*'Assumptions'!B11,0)</f>
        <v/>
      </c>
      <c r="AD9" s="15">
        <f>ROUND(AD3*'Assumptions'!B10*'Assumptions'!B11,0)</f>
        <v/>
      </c>
      <c r="AE9" s="15">
        <f>ROUND(AE3*'Assumptions'!B10*'Assumptions'!B11,0)</f>
        <v/>
      </c>
      <c r="AF9" s="15">
        <f>ROUND(AF3*'Assumptions'!B10*'Assumptions'!B11,0)</f>
        <v/>
      </c>
      <c r="AG9" s="15">
        <f>ROUND(AG3*'Assumptions'!B10*'Assumptions'!B11,0)</f>
        <v/>
      </c>
      <c r="AH9" s="15">
        <f>ROUND(AH3*'Assumptions'!B10*'Assumptions'!B11,0)</f>
        <v/>
      </c>
      <c r="AI9" s="15">
        <f>ROUND(AI3*'Assumptions'!B10*'Assumptions'!B11,0)</f>
        <v/>
      </c>
      <c r="AJ9" s="15">
        <f>ROUND(AJ3*'Assumptions'!B10*'Assumptions'!B11,0)</f>
        <v/>
      </c>
      <c r="AK9" s="15">
        <f>ROUND(AK3*'Assumptions'!B10*'Assumptions'!B11,0)</f>
        <v/>
      </c>
    </row>
    <row r="10" ht="22" customHeight="1">
      <c r="A10" s="9" t="inlineStr">
        <is>
          <t>Total Revenue PHP</t>
        </is>
      </c>
      <c r="B10" s="15">
        <f>ROUND(SUM(B7:B9),0)</f>
        <v/>
      </c>
      <c r="C10" s="15">
        <f>ROUND(SUM(C7:C9),0)</f>
        <v/>
      </c>
      <c r="D10" s="15">
        <f>ROUND(SUM(D7:D9),0)</f>
        <v/>
      </c>
      <c r="E10" s="15">
        <f>ROUND(SUM(E7:E9),0)</f>
        <v/>
      </c>
      <c r="F10" s="15">
        <f>ROUND(SUM(F7:F9),0)</f>
        <v/>
      </c>
      <c r="G10" s="15">
        <f>ROUND(SUM(G7:G9),0)</f>
        <v/>
      </c>
      <c r="H10" s="15">
        <f>ROUND(SUM(H7:H9),0)</f>
        <v/>
      </c>
      <c r="I10" s="15">
        <f>ROUND(SUM(I7:I9),0)</f>
        <v/>
      </c>
      <c r="J10" s="15">
        <f>ROUND(SUM(J7:J9),0)</f>
        <v/>
      </c>
      <c r="K10" s="15">
        <f>ROUND(SUM(K7:K9),0)</f>
        <v/>
      </c>
      <c r="L10" s="15">
        <f>ROUND(SUM(L7:L9),0)</f>
        <v/>
      </c>
      <c r="M10" s="15">
        <f>ROUND(SUM(M7:M9),0)</f>
        <v/>
      </c>
      <c r="N10" s="15">
        <f>ROUND(SUM(N7:N9),0)</f>
        <v/>
      </c>
      <c r="O10" s="15">
        <f>ROUND(SUM(O7:O9),0)</f>
        <v/>
      </c>
      <c r="P10" s="15">
        <f>ROUND(SUM(P7:P9),0)</f>
        <v/>
      </c>
      <c r="Q10" s="15">
        <f>ROUND(SUM(Q7:Q9),0)</f>
        <v/>
      </c>
      <c r="R10" s="15">
        <f>ROUND(SUM(R7:R9),0)</f>
        <v/>
      </c>
      <c r="S10" s="15">
        <f>ROUND(SUM(S7:S9),0)</f>
        <v/>
      </c>
      <c r="T10" s="15">
        <f>ROUND(SUM(T7:T9),0)</f>
        <v/>
      </c>
      <c r="U10" s="15">
        <f>ROUND(SUM(U7:U9),0)</f>
        <v/>
      </c>
      <c r="V10" s="15">
        <f>ROUND(SUM(V7:V9),0)</f>
        <v/>
      </c>
      <c r="W10" s="15">
        <f>ROUND(SUM(W7:W9),0)</f>
        <v/>
      </c>
      <c r="X10" s="15">
        <f>ROUND(SUM(X7:X9),0)</f>
        <v/>
      </c>
      <c r="Y10" s="15">
        <f>ROUND(SUM(Y7:Y9),0)</f>
        <v/>
      </c>
      <c r="Z10" s="15">
        <f>ROUND(SUM(Z7:Z9),0)</f>
        <v/>
      </c>
      <c r="AA10" s="15">
        <f>ROUND(SUM(AA7:AA9),0)</f>
        <v/>
      </c>
      <c r="AB10" s="15">
        <f>ROUND(SUM(AB7:AB9),0)</f>
        <v/>
      </c>
      <c r="AC10" s="15">
        <f>ROUND(SUM(AC7:AC9),0)</f>
        <v/>
      </c>
      <c r="AD10" s="15">
        <f>ROUND(SUM(AD7:AD9),0)</f>
        <v/>
      </c>
      <c r="AE10" s="15">
        <f>ROUND(SUM(AE7:AE9),0)</f>
        <v/>
      </c>
      <c r="AF10" s="15">
        <f>ROUND(SUM(AF7:AF9),0)</f>
        <v/>
      </c>
      <c r="AG10" s="15">
        <f>ROUND(SUM(AG7:AG9),0)</f>
        <v/>
      </c>
      <c r="AH10" s="15">
        <f>ROUND(SUM(AH7:AH9),0)</f>
        <v/>
      </c>
      <c r="AI10" s="15">
        <f>ROUND(SUM(AI7:AI9),0)</f>
        <v/>
      </c>
      <c r="AJ10" s="15">
        <f>ROUND(SUM(AJ7:AJ9),0)</f>
        <v/>
      </c>
      <c r="AK10" s="15">
        <f>ROUND(SUM(AK7:AK9),0)</f>
        <v/>
      </c>
    </row>
    <row r="11" ht="22" customHeight="1">
      <c r="A11" s="6" t="inlineStr">
        <is>
          <t>Hosting/Tools PHP</t>
        </is>
      </c>
      <c r="B11" s="15">
        <f>ROUND('Assumptions'!B12,0)</f>
        <v/>
      </c>
      <c r="C11" s="15">
        <f>ROUND('Assumptions'!B12,0)</f>
        <v/>
      </c>
      <c r="D11" s="15">
        <f>ROUND('Assumptions'!B12,0)</f>
        <v/>
      </c>
      <c r="E11" s="15">
        <f>ROUND('Assumptions'!B12,0)</f>
        <v/>
      </c>
      <c r="F11" s="15">
        <f>ROUND('Assumptions'!B12,0)</f>
        <v/>
      </c>
      <c r="G11" s="15">
        <f>ROUND('Assumptions'!B12,0)</f>
        <v/>
      </c>
      <c r="H11" s="15">
        <f>ROUND('Assumptions'!B12,0)</f>
        <v/>
      </c>
      <c r="I11" s="15">
        <f>ROUND('Assumptions'!B12,0)</f>
        <v/>
      </c>
      <c r="J11" s="15">
        <f>ROUND('Assumptions'!B12,0)</f>
        <v/>
      </c>
      <c r="K11" s="15">
        <f>ROUND('Assumptions'!B12,0)</f>
        <v/>
      </c>
      <c r="L11" s="15">
        <f>ROUND('Assumptions'!B12,0)</f>
        <v/>
      </c>
      <c r="M11" s="15">
        <f>ROUND('Assumptions'!B12,0)</f>
        <v/>
      </c>
      <c r="N11" s="15">
        <f>ROUND('Assumptions'!B12,0)</f>
        <v/>
      </c>
      <c r="O11" s="15">
        <f>ROUND('Assumptions'!B12,0)</f>
        <v/>
      </c>
      <c r="P11" s="15">
        <f>ROUND('Assumptions'!B12,0)</f>
        <v/>
      </c>
      <c r="Q11" s="15">
        <f>ROUND('Assumptions'!B12,0)</f>
        <v/>
      </c>
      <c r="R11" s="15">
        <f>ROUND('Assumptions'!B12,0)</f>
        <v/>
      </c>
      <c r="S11" s="15">
        <f>ROUND('Assumptions'!B12,0)</f>
        <v/>
      </c>
      <c r="T11" s="15">
        <f>ROUND('Assumptions'!B12,0)</f>
        <v/>
      </c>
      <c r="U11" s="15">
        <f>ROUND('Assumptions'!B12,0)</f>
        <v/>
      </c>
      <c r="V11" s="15">
        <f>ROUND('Assumptions'!B12,0)</f>
        <v/>
      </c>
      <c r="W11" s="15">
        <f>ROUND('Assumptions'!B12,0)</f>
        <v/>
      </c>
      <c r="X11" s="15">
        <f>ROUND('Assumptions'!B12,0)</f>
        <v/>
      </c>
      <c r="Y11" s="15">
        <f>ROUND('Assumptions'!B12,0)</f>
        <v/>
      </c>
      <c r="Z11" s="15">
        <f>ROUND('Assumptions'!B12,0)</f>
        <v/>
      </c>
      <c r="AA11" s="15">
        <f>ROUND('Assumptions'!B12,0)</f>
        <v/>
      </c>
      <c r="AB11" s="15">
        <f>ROUND('Assumptions'!B12,0)</f>
        <v/>
      </c>
      <c r="AC11" s="15">
        <f>ROUND('Assumptions'!B12,0)</f>
        <v/>
      </c>
      <c r="AD11" s="15">
        <f>ROUND('Assumptions'!B12,0)</f>
        <v/>
      </c>
      <c r="AE11" s="15">
        <f>ROUND('Assumptions'!B12,0)</f>
        <v/>
      </c>
      <c r="AF11" s="15">
        <f>ROUND('Assumptions'!B12,0)</f>
        <v/>
      </c>
      <c r="AG11" s="15">
        <f>ROUND('Assumptions'!B12,0)</f>
        <v/>
      </c>
      <c r="AH11" s="15">
        <f>ROUND('Assumptions'!B12,0)</f>
        <v/>
      </c>
      <c r="AI11" s="15">
        <f>ROUND('Assumptions'!B12,0)</f>
        <v/>
      </c>
      <c r="AJ11" s="15">
        <f>ROUND('Assumptions'!B12,0)</f>
        <v/>
      </c>
      <c r="AK11" s="15">
        <f>ROUND('Assumptions'!B12,0)</f>
        <v/>
      </c>
    </row>
    <row r="12" ht="22" customHeight="1">
      <c r="A12" s="6" t="inlineStr">
        <is>
          <t>Marketing PHP</t>
        </is>
      </c>
      <c r="B12" s="15">
        <f>ROUND('Assumptions'!B13,0)</f>
        <v/>
      </c>
      <c r="C12" s="15">
        <f>ROUND('Assumptions'!B13,0)</f>
        <v/>
      </c>
      <c r="D12" s="15">
        <f>ROUND('Assumptions'!B13,0)</f>
        <v/>
      </c>
      <c r="E12" s="15">
        <f>ROUND('Assumptions'!B13,0)</f>
        <v/>
      </c>
      <c r="F12" s="15">
        <f>ROUND('Assumptions'!B13,0)</f>
        <v/>
      </c>
      <c r="G12" s="15">
        <f>ROUND('Assumptions'!B13,0)</f>
        <v/>
      </c>
      <c r="H12" s="15">
        <f>ROUND('Assumptions'!B13,0)</f>
        <v/>
      </c>
      <c r="I12" s="15">
        <f>ROUND('Assumptions'!B13,0)</f>
        <v/>
      </c>
      <c r="J12" s="15">
        <f>ROUND('Assumptions'!B13,0)</f>
        <v/>
      </c>
      <c r="K12" s="15">
        <f>ROUND('Assumptions'!B13,0)</f>
        <v/>
      </c>
      <c r="L12" s="15">
        <f>ROUND('Assumptions'!B13,0)</f>
        <v/>
      </c>
      <c r="M12" s="15">
        <f>ROUND('Assumptions'!B13,0)</f>
        <v/>
      </c>
      <c r="N12" s="15">
        <f>ROUND('Assumptions'!B13,0)</f>
        <v/>
      </c>
      <c r="O12" s="15">
        <f>ROUND('Assumptions'!B13,0)</f>
        <v/>
      </c>
      <c r="P12" s="15">
        <f>ROUND('Assumptions'!B13,0)</f>
        <v/>
      </c>
      <c r="Q12" s="15">
        <f>ROUND('Assumptions'!B13,0)</f>
        <v/>
      </c>
      <c r="R12" s="15">
        <f>ROUND('Assumptions'!B13,0)</f>
        <v/>
      </c>
      <c r="S12" s="15">
        <f>ROUND('Assumptions'!B13,0)</f>
        <v/>
      </c>
      <c r="T12" s="15">
        <f>ROUND('Assumptions'!B13,0)</f>
        <v/>
      </c>
      <c r="U12" s="15">
        <f>ROUND('Assumptions'!B13,0)</f>
        <v/>
      </c>
      <c r="V12" s="15">
        <f>ROUND('Assumptions'!B13,0)</f>
        <v/>
      </c>
      <c r="W12" s="15">
        <f>ROUND('Assumptions'!B13,0)</f>
        <v/>
      </c>
      <c r="X12" s="15">
        <f>ROUND('Assumptions'!B13,0)</f>
        <v/>
      </c>
      <c r="Y12" s="15">
        <f>ROUND('Assumptions'!B13,0)</f>
        <v/>
      </c>
      <c r="Z12" s="15">
        <f>ROUND('Assumptions'!B13,0)</f>
        <v/>
      </c>
      <c r="AA12" s="15">
        <f>ROUND('Assumptions'!B13,0)</f>
        <v/>
      </c>
      <c r="AB12" s="15">
        <f>ROUND('Assumptions'!B13,0)</f>
        <v/>
      </c>
      <c r="AC12" s="15">
        <f>ROUND('Assumptions'!B13,0)</f>
        <v/>
      </c>
      <c r="AD12" s="15">
        <f>ROUND('Assumptions'!B13,0)</f>
        <v/>
      </c>
      <c r="AE12" s="15">
        <f>ROUND('Assumptions'!B13,0)</f>
        <v/>
      </c>
      <c r="AF12" s="15">
        <f>ROUND('Assumptions'!B13,0)</f>
        <v/>
      </c>
      <c r="AG12" s="15">
        <f>ROUND('Assumptions'!B13,0)</f>
        <v/>
      </c>
      <c r="AH12" s="15">
        <f>ROUND('Assumptions'!B13,0)</f>
        <v/>
      </c>
      <c r="AI12" s="15">
        <f>ROUND('Assumptions'!B13,0)</f>
        <v/>
      </c>
      <c r="AJ12" s="15">
        <f>ROUND('Assumptions'!B13,0)</f>
        <v/>
      </c>
      <c r="AK12" s="15">
        <f>ROUND('Assumptions'!B13,0)</f>
        <v/>
      </c>
    </row>
    <row r="13" ht="22" customHeight="1">
      <c r="A13" s="6" t="inlineStr">
        <is>
          <t>Operations Support PHP</t>
        </is>
      </c>
      <c r="B13" s="15">
        <f>ROUND('Assumptions'!B14,0)</f>
        <v/>
      </c>
      <c r="C13" s="15">
        <f>ROUND('Assumptions'!B14,0)</f>
        <v/>
      </c>
      <c r="D13" s="15">
        <f>ROUND('Assumptions'!B14,0)</f>
        <v/>
      </c>
      <c r="E13" s="15">
        <f>ROUND('Assumptions'!B14,0)</f>
        <v/>
      </c>
      <c r="F13" s="15">
        <f>ROUND('Assumptions'!B14,0)</f>
        <v/>
      </c>
      <c r="G13" s="15">
        <f>ROUND('Assumptions'!B14,0)</f>
        <v/>
      </c>
      <c r="H13" s="15">
        <f>ROUND('Assumptions'!B14,0)</f>
        <v/>
      </c>
      <c r="I13" s="15">
        <f>ROUND('Assumptions'!B14,0)</f>
        <v/>
      </c>
      <c r="J13" s="15">
        <f>ROUND('Assumptions'!B14,0)</f>
        <v/>
      </c>
      <c r="K13" s="15">
        <f>ROUND('Assumptions'!B14,0)</f>
        <v/>
      </c>
      <c r="L13" s="15">
        <f>ROUND('Assumptions'!B14,0)</f>
        <v/>
      </c>
      <c r="M13" s="15">
        <f>ROUND('Assumptions'!B14,0)</f>
        <v/>
      </c>
      <c r="N13" s="15">
        <f>ROUND('Assumptions'!B14,0)</f>
        <v/>
      </c>
      <c r="O13" s="15">
        <f>ROUND('Assumptions'!B14,0)</f>
        <v/>
      </c>
      <c r="P13" s="15">
        <f>ROUND('Assumptions'!B14,0)</f>
        <v/>
      </c>
      <c r="Q13" s="15">
        <f>ROUND('Assumptions'!B14,0)</f>
        <v/>
      </c>
      <c r="R13" s="15">
        <f>ROUND('Assumptions'!B14,0)</f>
        <v/>
      </c>
      <c r="S13" s="15">
        <f>ROUND('Assumptions'!B14,0)</f>
        <v/>
      </c>
      <c r="T13" s="15">
        <f>ROUND('Assumptions'!B14,0)</f>
        <v/>
      </c>
      <c r="U13" s="15">
        <f>ROUND('Assumptions'!B14,0)</f>
        <v/>
      </c>
      <c r="V13" s="15">
        <f>ROUND('Assumptions'!B14,0)</f>
        <v/>
      </c>
      <c r="W13" s="15">
        <f>ROUND('Assumptions'!B14,0)</f>
        <v/>
      </c>
      <c r="X13" s="15">
        <f>ROUND('Assumptions'!B14,0)</f>
        <v/>
      </c>
      <c r="Y13" s="15">
        <f>ROUND('Assumptions'!B14,0)</f>
        <v/>
      </c>
      <c r="Z13" s="15">
        <f>ROUND('Assumptions'!B14,0)</f>
        <v/>
      </c>
      <c r="AA13" s="15">
        <f>ROUND('Assumptions'!B14,0)</f>
        <v/>
      </c>
      <c r="AB13" s="15">
        <f>ROUND('Assumptions'!B14,0)</f>
        <v/>
      </c>
      <c r="AC13" s="15">
        <f>ROUND('Assumptions'!B14,0)</f>
        <v/>
      </c>
      <c r="AD13" s="15">
        <f>ROUND('Assumptions'!B14,0)</f>
        <v/>
      </c>
      <c r="AE13" s="15">
        <f>ROUND('Assumptions'!B14,0)</f>
        <v/>
      </c>
      <c r="AF13" s="15">
        <f>ROUND('Assumptions'!B14,0)</f>
        <v/>
      </c>
      <c r="AG13" s="15">
        <f>ROUND('Assumptions'!B14,0)</f>
        <v/>
      </c>
      <c r="AH13" s="15">
        <f>ROUND('Assumptions'!B14,0)</f>
        <v/>
      </c>
      <c r="AI13" s="15">
        <f>ROUND('Assumptions'!B14,0)</f>
        <v/>
      </c>
      <c r="AJ13" s="15">
        <f>ROUND('Assumptions'!B14,0)</f>
        <v/>
      </c>
      <c r="AK13" s="15">
        <f>ROUND('Assumptions'!B14,0)</f>
        <v/>
      </c>
    </row>
    <row r="14" ht="22" customHeight="1">
      <c r="A14" s="6" t="inlineStr">
        <is>
          <t>Legal/Admin PHP</t>
        </is>
      </c>
      <c r="B14" s="15">
        <f>ROUND('Assumptions'!B15,0)</f>
        <v/>
      </c>
      <c r="C14" s="15">
        <f>ROUND('Assumptions'!B15,0)</f>
        <v/>
      </c>
      <c r="D14" s="15">
        <f>ROUND('Assumptions'!B15,0)</f>
        <v/>
      </c>
      <c r="E14" s="15">
        <f>ROUND('Assumptions'!B15,0)</f>
        <v/>
      </c>
      <c r="F14" s="15">
        <f>ROUND('Assumptions'!B15,0)</f>
        <v/>
      </c>
      <c r="G14" s="15">
        <f>ROUND('Assumptions'!B15,0)</f>
        <v/>
      </c>
      <c r="H14" s="15">
        <f>ROUND('Assumptions'!B15,0)</f>
        <v/>
      </c>
      <c r="I14" s="15">
        <f>ROUND('Assumptions'!B15,0)</f>
        <v/>
      </c>
      <c r="J14" s="15">
        <f>ROUND('Assumptions'!B15,0)</f>
        <v/>
      </c>
      <c r="K14" s="15">
        <f>ROUND('Assumptions'!B15,0)</f>
        <v/>
      </c>
      <c r="L14" s="15">
        <f>ROUND('Assumptions'!B15,0)</f>
        <v/>
      </c>
      <c r="M14" s="15">
        <f>ROUND('Assumptions'!B15,0)</f>
        <v/>
      </c>
      <c r="N14" s="15">
        <f>ROUND('Assumptions'!B15,0)</f>
        <v/>
      </c>
      <c r="O14" s="15">
        <f>ROUND('Assumptions'!B15,0)</f>
        <v/>
      </c>
      <c r="P14" s="15">
        <f>ROUND('Assumptions'!B15,0)</f>
        <v/>
      </c>
      <c r="Q14" s="15">
        <f>ROUND('Assumptions'!B15,0)</f>
        <v/>
      </c>
      <c r="R14" s="15">
        <f>ROUND('Assumptions'!B15,0)</f>
        <v/>
      </c>
      <c r="S14" s="15">
        <f>ROUND('Assumptions'!B15,0)</f>
        <v/>
      </c>
      <c r="T14" s="15">
        <f>ROUND('Assumptions'!B15,0)</f>
        <v/>
      </c>
      <c r="U14" s="15">
        <f>ROUND('Assumptions'!B15,0)</f>
        <v/>
      </c>
      <c r="V14" s="15">
        <f>ROUND('Assumptions'!B15,0)</f>
        <v/>
      </c>
      <c r="W14" s="15">
        <f>ROUND('Assumptions'!B15,0)</f>
        <v/>
      </c>
      <c r="X14" s="15">
        <f>ROUND('Assumptions'!B15,0)</f>
        <v/>
      </c>
      <c r="Y14" s="15">
        <f>ROUND('Assumptions'!B15,0)</f>
        <v/>
      </c>
      <c r="Z14" s="15">
        <f>ROUND('Assumptions'!B15,0)</f>
        <v/>
      </c>
      <c r="AA14" s="15">
        <f>ROUND('Assumptions'!B15,0)</f>
        <v/>
      </c>
      <c r="AB14" s="15">
        <f>ROUND('Assumptions'!B15,0)</f>
        <v/>
      </c>
      <c r="AC14" s="15">
        <f>ROUND('Assumptions'!B15,0)</f>
        <v/>
      </c>
      <c r="AD14" s="15">
        <f>ROUND('Assumptions'!B15,0)</f>
        <v/>
      </c>
      <c r="AE14" s="15">
        <f>ROUND('Assumptions'!B15,0)</f>
        <v/>
      </c>
      <c r="AF14" s="15">
        <f>ROUND('Assumptions'!B15,0)</f>
        <v/>
      </c>
      <c r="AG14" s="15">
        <f>ROUND('Assumptions'!B15,0)</f>
        <v/>
      </c>
      <c r="AH14" s="15">
        <f>ROUND('Assumptions'!B15,0)</f>
        <v/>
      </c>
      <c r="AI14" s="15">
        <f>ROUND('Assumptions'!B15,0)</f>
        <v/>
      </c>
      <c r="AJ14" s="15">
        <f>ROUND('Assumptions'!B15,0)</f>
        <v/>
      </c>
      <c r="AK14" s="15">
        <f>ROUND('Assumptions'!B15,0)</f>
        <v/>
      </c>
    </row>
    <row r="15" ht="22" customHeight="1">
      <c r="A15" s="6" t="inlineStr">
        <is>
          <t>SMS/Notification PHP</t>
        </is>
      </c>
      <c r="B15" s="15">
        <f>ROUND(B4*'Assumptions'!B16,0)</f>
        <v/>
      </c>
      <c r="C15" s="15">
        <f>ROUND(C4*'Assumptions'!B16,0)</f>
        <v/>
      </c>
      <c r="D15" s="15">
        <f>ROUND(D4*'Assumptions'!B16,0)</f>
        <v/>
      </c>
      <c r="E15" s="15">
        <f>ROUND(E4*'Assumptions'!B16,0)</f>
        <v/>
      </c>
      <c r="F15" s="15">
        <f>ROUND(F4*'Assumptions'!B16,0)</f>
        <v/>
      </c>
      <c r="G15" s="15">
        <f>ROUND(G4*'Assumptions'!B16,0)</f>
        <v/>
      </c>
      <c r="H15" s="15">
        <f>ROUND(H4*'Assumptions'!B16,0)</f>
        <v/>
      </c>
      <c r="I15" s="15">
        <f>ROUND(I4*'Assumptions'!B16,0)</f>
        <v/>
      </c>
      <c r="J15" s="15">
        <f>ROUND(J4*'Assumptions'!B16,0)</f>
        <v/>
      </c>
      <c r="K15" s="15">
        <f>ROUND(K4*'Assumptions'!B16,0)</f>
        <v/>
      </c>
      <c r="L15" s="15">
        <f>ROUND(L4*'Assumptions'!B16,0)</f>
        <v/>
      </c>
      <c r="M15" s="15">
        <f>ROUND(M4*'Assumptions'!B16,0)</f>
        <v/>
      </c>
      <c r="N15" s="15">
        <f>ROUND(N4*'Assumptions'!B16,0)</f>
        <v/>
      </c>
      <c r="O15" s="15">
        <f>ROUND(O4*'Assumptions'!B16,0)</f>
        <v/>
      </c>
      <c r="P15" s="15">
        <f>ROUND(P4*'Assumptions'!B16,0)</f>
        <v/>
      </c>
      <c r="Q15" s="15">
        <f>ROUND(Q4*'Assumptions'!B16,0)</f>
        <v/>
      </c>
      <c r="R15" s="15">
        <f>ROUND(R4*'Assumptions'!B16,0)</f>
        <v/>
      </c>
      <c r="S15" s="15">
        <f>ROUND(S4*'Assumptions'!B16,0)</f>
        <v/>
      </c>
      <c r="T15" s="15">
        <f>ROUND(T4*'Assumptions'!B16,0)</f>
        <v/>
      </c>
      <c r="U15" s="15">
        <f>ROUND(U4*'Assumptions'!B16,0)</f>
        <v/>
      </c>
      <c r="V15" s="15">
        <f>ROUND(V4*'Assumptions'!B16,0)</f>
        <v/>
      </c>
      <c r="W15" s="15">
        <f>ROUND(W4*'Assumptions'!B16,0)</f>
        <v/>
      </c>
      <c r="X15" s="15">
        <f>ROUND(X4*'Assumptions'!B16,0)</f>
        <v/>
      </c>
      <c r="Y15" s="15">
        <f>ROUND(Y4*'Assumptions'!B16,0)</f>
        <v/>
      </c>
      <c r="Z15" s="15">
        <f>ROUND(Z4*'Assumptions'!B16,0)</f>
        <v/>
      </c>
      <c r="AA15" s="15">
        <f>ROUND(AA4*'Assumptions'!B16,0)</f>
        <v/>
      </c>
      <c r="AB15" s="15">
        <f>ROUND(AB4*'Assumptions'!B16,0)</f>
        <v/>
      </c>
      <c r="AC15" s="15">
        <f>ROUND(AC4*'Assumptions'!B16,0)</f>
        <v/>
      </c>
      <c r="AD15" s="15">
        <f>ROUND(AD4*'Assumptions'!B16,0)</f>
        <v/>
      </c>
      <c r="AE15" s="15">
        <f>ROUND(AE4*'Assumptions'!B16,0)</f>
        <v/>
      </c>
      <c r="AF15" s="15">
        <f>ROUND(AF4*'Assumptions'!B16,0)</f>
        <v/>
      </c>
      <c r="AG15" s="15">
        <f>ROUND(AG4*'Assumptions'!B16,0)</f>
        <v/>
      </c>
      <c r="AH15" s="15">
        <f>ROUND(AH4*'Assumptions'!B16,0)</f>
        <v/>
      </c>
      <c r="AI15" s="15">
        <f>ROUND(AI4*'Assumptions'!B16,0)</f>
        <v/>
      </c>
      <c r="AJ15" s="15">
        <f>ROUND(AJ4*'Assumptions'!B16,0)</f>
        <v/>
      </c>
      <c r="AK15" s="15">
        <f>ROUND(AK4*'Assumptions'!B16,0)</f>
        <v/>
      </c>
    </row>
    <row r="16" ht="22" customHeight="1">
      <c r="A16" s="6" t="inlineStr">
        <is>
          <t>Development PHP</t>
        </is>
      </c>
      <c r="B16" s="15">
        <f>ROUND('Assumptions'!B17,0)</f>
        <v/>
      </c>
      <c r="C16" s="15">
        <f>ROUND('Assumptions'!B17,0)</f>
        <v/>
      </c>
      <c r="D16" s="15">
        <f>ROUND('Assumptions'!B17,0)</f>
        <v/>
      </c>
      <c r="E16" s="15">
        <f>ROUND('Assumptions'!B17,0)</f>
        <v/>
      </c>
      <c r="F16" s="15">
        <f>ROUND('Assumptions'!B17,0)</f>
        <v/>
      </c>
      <c r="G16" s="15">
        <f>ROUND('Assumptions'!B17,0)</f>
        <v/>
      </c>
      <c r="H16" s="15">
        <f>ROUND('Assumptions'!B17,0)</f>
        <v/>
      </c>
      <c r="I16" s="15">
        <f>ROUND('Assumptions'!B17,0)</f>
        <v/>
      </c>
      <c r="J16" s="15">
        <f>ROUND('Assumptions'!B17,0)</f>
        <v/>
      </c>
      <c r="K16" s="15">
        <f>ROUND('Assumptions'!B17,0)</f>
        <v/>
      </c>
      <c r="L16" s="15">
        <f>ROUND('Assumptions'!B17,0)</f>
        <v/>
      </c>
      <c r="M16" s="15">
        <f>ROUND('Assumptions'!B17,0)</f>
        <v/>
      </c>
      <c r="N16" s="15">
        <f>ROUND('Assumptions'!B17,0)</f>
        <v/>
      </c>
      <c r="O16" s="15">
        <f>ROUND('Assumptions'!B17,0)</f>
        <v/>
      </c>
      <c r="P16" s="15">
        <f>ROUND('Assumptions'!B17,0)</f>
        <v/>
      </c>
      <c r="Q16" s="15">
        <f>ROUND('Assumptions'!B17,0)</f>
        <v/>
      </c>
      <c r="R16" s="15">
        <f>ROUND('Assumptions'!B17,0)</f>
        <v/>
      </c>
      <c r="S16" s="15">
        <f>ROUND('Assumptions'!B17,0)</f>
        <v/>
      </c>
      <c r="T16" s="15">
        <f>ROUND('Assumptions'!B17,0)</f>
        <v/>
      </c>
      <c r="U16" s="15">
        <f>ROUND('Assumptions'!B17,0)</f>
        <v/>
      </c>
      <c r="V16" s="15">
        <f>ROUND('Assumptions'!B17,0)</f>
        <v/>
      </c>
      <c r="W16" s="15">
        <f>ROUND('Assumptions'!B17,0)</f>
        <v/>
      </c>
      <c r="X16" s="15">
        <f>ROUND('Assumptions'!B17,0)</f>
        <v/>
      </c>
      <c r="Y16" s="15">
        <f>ROUND('Assumptions'!B17,0)</f>
        <v/>
      </c>
      <c r="Z16" s="15">
        <f>ROUND('Assumptions'!B17,0)</f>
        <v/>
      </c>
      <c r="AA16" s="15">
        <f>ROUND('Assumptions'!B17,0)</f>
        <v/>
      </c>
      <c r="AB16" s="15">
        <f>ROUND('Assumptions'!B17,0)</f>
        <v/>
      </c>
      <c r="AC16" s="15">
        <f>ROUND('Assumptions'!B17,0)</f>
        <v/>
      </c>
      <c r="AD16" s="15">
        <f>ROUND('Assumptions'!B17,0)</f>
        <v/>
      </c>
      <c r="AE16" s="15">
        <f>ROUND('Assumptions'!B17,0)</f>
        <v/>
      </c>
      <c r="AF16" s="15">
        <f>ROUND('Assumptions'!B17,0)</f>
        <v/>
      </c>
      <c r="AG16" s="15">
        <f>ROUND('Assumptions'!B17,0)</f>
        <v/>
      </c>
      <c r="AH16" s="15">
        <f>ROUND('Assumptions'!B17,0)</f>
        <v/>
      </c>
      <c r="AI16" s="15">
        <f>ROUND('Assumptions'!B17,0)</f>
        <v/>
      </c>
      <c r="AJ16" s="15">
        <f>ROUND('Assumptions'!B17,0)</f>
        <v/>
      </c>
      <c r="AK16" s="15">
        <f>ROUND('Assumptions'!B17,0)</f>
        <v/>
      </c>
    </row>
    <row r="17" ht="22" customHeight="1">
      <c r="A17" s="9" t="inlineStr">
        <is>
          <t>Total Expenses PHP</t>
        </is>
      </c>
      <c r="B17" s="15">
        <f>ROUND(SUM(B11:B16),0)</f>
        <v/>
      </c>
      <c r="C17" s="15">
        <f>ROUND(SUM(C11:C16),0)</f>
        <v/>
      </c>
      <c r="D17" s="15">
        <f>ROUND(SUM(D11:D16),0)</f>
        <v/>
      </c>
      <c r="E17" s="15">
        <f>ROUND(SUM(E11:E16),0)</f>
        <v/>
      </c>
      <c r="F17" s="15">
        <f>ROUND(SUM(F11:F16),0)</f>
        <v/>
      </c>
      <c r="G17" s="15">
        <f>ROUND(SUM(G11:G16),0)</f>
        <v/>
      </c>
      <c r="H17" s="15">
        <f>ROUND(SUM(H11:H16),0)</f>
        <v/>
      </c>
      <c r="I17" s="15">
        <f>ROUND(SUM(I11:I16),0)</f>
        <v/>
      </c>
      <c r="J17" s="15">
        <f>ROUND(SUM(J11:J16),0)</f>
        <v/>
      </c>
      <c r="K17" s="15">
        <f>ROUND(SUM(K11:K16),0)</f>
        <v/>
      </c>
      <c r="L17" s="15">
        <f>ROUND(SUM(L11:L16),0)</f>
        <v/>
      </c>
      <c r="M17" s="15">
        <f>ROUND(SUM(M11:M16),0)</f>
        <v/>
      </c>
      <c r="N17" s="15">
        <f>ROUND(SUM(N11:N16),0)</f>
        <v/>
      </c>
      <c r="O17" s="15">
        <f>ROUND(SUM(O11:O16),0)</f>
        <v/>
      </c>
      <c r="P17" s="15">
        <f>ROUND(SUM(P11:P16),0)</f>
        <v/>
      </c>
      <c r="Q17" s="15">
        <f>ROUND(SUM(Q11:Q16),0)</f>
        <v/>
      </c>
      <c r="R17" s="15">
        <f>ROUND(SUM(R11:R16),0)</f>
        <v/>
      </c>
      <c r="S17" s="15">
        <f>ROUND(SUM(S11:S16),0)</f>
        <v/>
      </c>
      <c r="T17" s="15">
        <f>ROUND(SUM(T11:T16),0)</f>
        <v/>
      </c>
      <c r="U17" s="15">
        <f>ROUND(SUM(U11:U16),0)</f>
        <v/>
      </c>
      <c r="V17" s="15">
        <f>ROUND(SUM(V11:V16),0)</f>
        <v/>
      </c>
      <c r="W17" s="15">
        <f>ROUND(SUM(W11:W16),0)</f>
        <v/>
      </c>
      <c r="X17" s="15">
        <f>ROUND(SUM(X11:X16),0)</f>
        <v/>
      </c>
      <c r="Y17" s="15">
        <f>ROUND(SUM(Y11:Y16),0)</f>
        <v/>
      </c>
      <c r="Z17" s="15">
        <f>ROUND(SUM(Z11:Z16),0)</f>
        <v/>
      </c>
      <c r="AA17" s="15">
        <f>ROUND(SUM(AA11:AA16),0)</f>
        <v/>
      </c>
      <c r="AB17" s="15">
        <f>ROUND(SUM(AB11:AB16),0)</f>
        <v/>
      </c>
      <c r="AC17" s="15">
        <f>ROUND(SUM(AC11:AC16),0)</f>
        <v/>
      </c>
      <c r="AD17" s="15">
        <f>ROUND(SUM(AD11:AD16),0)</f>
        <v/>
      </c>
      <c r="AE17" s="15">
        <f>ROUND(SUM(AE11:AE16),0)</f>
        <v/>
      </c>
      <c r="AF17" s="15">
        <f>ROUND(SUM(AF11:AF16),0)</f>
        <v/>
      </c>
      <c r="AG17" s="15">
        <f>ROUND(SUM(AG11:AG16),0)</f>
        <v/>
      </c>
      <c r="AH17" s="15">
        <f>ROUND(SUM(AH11:AH16),0)</f>
        <v/>
      </c>
      <c r="AI17" s="15">
        <f>ROUND(SUM(AI11:AI16),0)</f>
        <v/>
      </c>
      <c r="AJ17" s="15">
        <f>ROUND(SUM(AJ11:AJ16),0)</f>
        <v/>
      </c>
      <c r="AK17" s="15">
        <f>ROUND(SUM(AK11:AK16),0)</f>
        <v/>
      </c>
    </row>
    <row r="18" ht="22" customHeight="1">
      <c r="A18" s="9" t="inlineStr">
        <is>
          <t>Net Cash Flow PHP</t>
        </is>
      </c>
      <c r="B18" s="15">
        <f>ROUND(B10-B17,0)</f>
        <v/>
      </c>
      <c r="C18" s="15">
        <f>ROUND(C10-C17,0)</f>
        <v/>
      </c>
      <c r="D18" s="15">
        <f>ROUND(D10-D17,0)</f>
        <v/>
      </c>
      <c r="E18" s="15">
        <f>ROUND(E10-E17,0)</f>
        <v/>
      </c>
      <c r="F18" s="15">
        <f>ROUND(F10-F17,0)</f>
        <v/>
      </c>
      <c r="G18" s="15">
        <f>ROUND(G10-G17,0)</f>
        <v/>
      </c>
      <c r="H18" s="15">
        <f>ROUND(H10-H17,0)</f>
        <v/>
      </c>
      <c r="I18" s="15">
        <f>ROUND(I10-I17,0)</f>
        <v/>
      </c>
      <c r="J18" s="15">
        <f>ROUND(J10-J17,0)</f>
        <v/>
      </c>
      <c r="K18" s="15">
        <f>ROUND(K10-K17,0)</f>
        <v/>
      </c>
      <c r="L18" s="15">
        <f>ROUND(L10-L17,0)</f>
        <v/>
      </c>
      <c r="M18" s="15">
        <f>ROUND(M10-M17,0)</f>
        <v/>
      </c>
      <c r="N18" s="15">
        <f>ROUND(N10-N17,0)</f>
        <v/>
      </c>
      <c r="O18" s="15">
        <f>ROUND(O10-O17,0)</f>
        <v/>
      </c>
      <c r="P18" s="15">
        <f>ROUND(P10-P17,0)</f>
        <v/>
      </c>
      <c r="Q18" s="15">
        <f>ROUND(Q10-Q17,0)</f>
        <v/>
      </c>
      <c r="R18" s="15">
        <f>ROUND(R10-R17,0)</f>
        <v/>
      </c>
      <c r="S18" s="15">
        <f>ROUND(S10-S17,0)</f>
        <v/>
      </c>
      <c r="T18" s="15">
        <f>ROUND(T10-T17,0)</f>
        <v/>
      </c>
      <c r="U18" s="15">
        <f>ROUND(U10-U17,0)</f>
        <v/>
      </c>
      <c r="V18" s="15">
        <f>ROUND(V10-V17,0)</f>
        <v/>
      </c>
      <c r="W18" s="15">
        <f>ROUND(W10-W17,0)</f>
        <v/>
      </c>
      <c r="X18" s="15">
        <f>ROUND(X10-X17,0)</f>
        <v/>
      </c>
      <c r="Y18" s="15">
        <f>ROUND(Y10-Y17,0)</f>
        <v/>
      </c>
      <c r="Z18" s="15">
        <f>ROUND(Z10-Z17,0)</f>
        <v/>
      </c>
      <c r="AA18" s="15">
        <f>ROUND(AA10-AA17,0)</f>
        <v/>
      </c>
      <c r="AB18" s="15">
        <f>ROUND(AB10-AB17,0)</f>
        <v/>
      </c>
      <c r="AC18" s="15">
        <f>ROUND(AC10-AC17,0)</f>
        <v/>
      </c>
      <c r="AD18" s="15">
        <f>ROUND(AD10-AD17,0)</f>
        <v/>
      </c>
      <c r="AE18" s="15">
        <f>ROUND(AE10-AE17,0)</f>
        <v/>
      </c>
      <c r="AF18" s="15">
        <f>ROUND(AF10-AF17,0)</f>
        <v/>
      </c>
      <c r="AG18" s="15">
        <f>ROUND(AG10-AG17,0)</f>
        <v/>
      </c>
      <c r="AH18" s="15">
        <f>ROUND(AH10-AH17,0)</f>
        <v/>
      </c>
      <c r="AI18" s="15">
        <f>ROUND(AI10-AI17,0)</f>
        <v/>
      </c>
      <c r="AJ18" s="15">
        <f>ROUND(AJ10-AJ17,0)</f>
        <v/>
      </c>
      <c r="AK18" s="15">
        <f>ROUND(AK10-AK17,0)</f>
        <v/>
      </c>
    </row>
    <row r="19" ht="22" customHeight="1">
      <c r="A19" s="9" t="inlineStr">
        <is>
          <t>Cumulative Cash PHP</t>
        </is>
      </c>
      <c r="B19" s="15">
        <f>ROUND(B18,0)</f>
        <v/>
      </c>
      <c r="C19" s="15">
        <f>ROUND(B19+C18,0)</f>
        <v/>
      </c>
      <c r="D19" s="15">
        <f>ROUND(C19+D18,0)</f>
        <v/>
      </c>
      <c r="E19" s="15">
        <f>ROUND(D19+E18,0)</f>
        <v/>
      </c>
      <c r="F19" s="15">
        <f>ROUND(E19+F18,0)</f>
        <v/>
      </c>
      <c r="G19" s="15">
        <f>ROUND(F19+G18,0)</f>
        <v/>
      </c>
      <c r="H19" s="15">
        <f>ROUND(G19+H18,0)</f>
        <v/>
      </c>
      <c r="I19" s="15">
        <f>ROUND(H19+I18,0)</f>
        <v/>
      </c>
      <c r="J19" s="15">
        <f>ROUND(I19+J18,0)</f>
        <v/>
      </c>
      <c r="K19" s="15">
        <f>ROUND(J19+K18,0)</f>
        <v/>
      </c>
      <c r="L19" s="15">
        <f>ROUND(K19+L18,0)</f>
        <v/>
      </c>
      <c r="M19" s="15">
        <f>ROUND(L19+M18,0)</f>
        <v/>
      </c>
      <c r="N19" s="15">
        <f>ROUND(M19+N18,0)</f>
        <v/>
      </c>
      <c r="O19" s="15">
        <f>ROUND(N19+O18,0)</f>
        <v/>
      </c>
      <c r="P19" s="15">
        <f>ROUND(O19+P18,0)</f>
        <v/>
      </c>
      <c r="Q19" s="15">
        <f>ROUND(P19+Q18,0)</f>
        <v/>
      </c>
      <c r="R19" s="15">
        <f>ROUND(Q19+R18,0)</f>
        <v/>
      </c>
      <c r="S19" s="15">
        <f>ROUND(R19+S18,0)</f>
        <v/>
      </c>
      <c r="T19" s="15">
        <f>ROUND(S19+T18,0)</f>
        <v/>
      </c>
      <c r="U19" s="15">
        <f>ROUND(T19+U18,0)</f>
        <v/>
      </c>
      <c r="V19" s="15">
        <f>ROUND(U19+V18,0)</f>
        <v/>
      </c>
      <c r="W19" s="15">
        <f>ROUND(V19+W18,0)</f>
        <v/>
      </c>
      <c r="X19" s="15">
        <f>ROUND(W19+X18,0)</f>
        <v/>
      </c>
      <c r="Y19" s="15">
        <f>ROUND(X19+Y18,0)</f>
        <v/>
      </c>
      <c r="Z19" s="15">
        <f>ROUND(Y19+Z18,0)</f>
        <v/>
      </c>
      <c r="AA19" s="15">
        <f>ROUND(Z19+AA18,0)</f>
        <v/>
      </c>
      <c r="AB19" s="15">
        <f>ROUND(AA19+AB18,0)</f>
        <v/>
      </c>
      <c r="AC19" s="15">
        <f>ROUND(AB19+AC18,0)</f>
        <v/>
      </c>
      <c r="AD19" s="15">
        <f>ROUND(AC19+AD18,0)</f>
        <v/>
      </c>
      <c r="AE19" s="15">
        <f>ROUND(AD19+AE18,0)</f>
        <v/>
      </c>
      <c r="AF19" s="15">
        <f>ROUND(AE19+AF18,0)</f>
        <v/>
      </c>
      <c r="AG19" s="15">
        <f>ROUND(AF19+AG18,0)</f>
        <v/>
      </c>
      <c r="AH19" s="15">
        <f>ROUND(AG19+AH18,0)</f>
        <v/>
      </c>
      <c r="AI19" s="15">
        <f>ROUND(AH19+AI18,0)</f>
        <v/>
      </c>
      <c r="AJ19" s="15">
        <f>ROUND(AI19+AJ18,0)</f>
        <v/>
      </c>
      <c r="AK19" s="15">
        <f>ROUND(AJ19+AK18,0)</f>
        <v/>
      </c>
    </row>
  </sheetData>
  <mergeCells count="1">
    <mergeCell ref="A1:AL1"/>
  </mergeCells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" t="inlineStr">
        <is>
          <t>Annual Summary</t>
        </is>
      </c>
    </row>
    <row r="2" ht="22" customHeight="1">
      <c r="A2" s="1" t="inlineStr">
        <is>
          <t>Metric</t>
        </is>
      </c>
      <c r="B2" s="1" t="inlineStr">
        <is>
          <t>Year 1</t>
        </is>
      </c>
      <c r="C2" s="1" t="inlineStr">
        <is>
          <t>Year 2</t>
        </is>
      </c>
      <c r="D2" s="1" t="inlineStr">
        <is>
          <t>Year 3</t>
        </is>
      </c>
    </row>
    <row r="3" ht="22" customHeight="1">
      <c r="A3" s="10" t="inlineStr">
        <is>
          <t>Posted Requests</t>
        </is>
      </c>
      <c r="B3" s="16">
        <f>ROUND(SUM('Monthly Projection'!B4:M4),0)</f>
        <v/>
      </c>
      <c r="C3" s="16">
        <f>ROUND(SUM('Monthly Projection'!N4:Y4),0)</f>
        <v/>
      </c>
      <c r="D3" s="16">
        <f>ROUND(SUM('Monthly Projection'!Z4:AK4),0)</f>
        <v/>
      </c>
    </row>
    <row r="4" ht="22" customHeight="1">
      <c r="A4" s="10" t="inlineStr">
        <is>
          <t>Completed Jobs</t>
        </is>
      </c>
      <c r="B4" s="16">
        <f>ROUND(SUM('Monthly Projection'!B5:M5),0)</f>
        <v/>
      </c>
      <c r="C4" s="16">
        <f>ROUND(SUM('Monthly Projection'!N5:Y5),0)</f>
        <v/>
      </c>
      <c r="D4" s="16">
        <f>ROUND(SUM('Monthly Projection'!Z5:AK5),0)</f>
        <v/>
      </c>
    </row>
    <row r="5" ht="22" customHeight="1">
      <c r="A5" s="10" t="inlineStr">
        <is>
          <t>GMV PHP</t>
        </is>
      </c>
      <c r="B5" s="16">
        <f>ROUND(SUM('Monthly Projection'!B6:M6),0)</f>
        <v/>
      </c>
      <c r="C5" s="16">
        <f>ROUND(SUM('Monthly Projection'!N6:Y6),0)</f>
        <v/>
      </c>
      <c r="D5" s="16">
        <f>ROUND(SUM('Monthly Projection'!Z6:AK6),0)</f>
        <v/>
      </c>
    </row>
    <row r="6" ht="22" customHeight="1">
      <c r="A6" s="10" t="inlineStr">
        <is>
          <t>Total Revenue PHP</t>
        </is>
      </c>
      <c r="B6" s="16">
        <f>ROUND(SUM('Monthly Projection'!B10:M10),0)</f>
        <v/>
      </c>
      <c r="C6" s="16">
        <f>ROUND(SUM('Monthly Projection'!N10:Y10),0)</f>
        <v/>
      </c>
      <c r="D6" s="16">
        <f>ROUND(SUM('Monthly Projection'!Z10:AK10),0)</f>
        <v/>
      </c>
    </row>
    <row r="7" ht="22" customHeight="1">
      <c r="A7" s="10" t="inlineStr">
        <is>
          <t>Total Expenses PHP</t>
        </is>
      </c>
      <c r="B7" s="16">
        <f>ROUND(SUM('Monthly Projection'!B17:M17),0)</f>
        <v/>
      </c>
      <c r="C7" s="16">
        <f>ROUND(SUM('Monthly Projection'!N17:Y17),0)</f>
        <v/>
      </c>
      <c r="D7" s="16">
        <f>ROUND(SUM('Monthly Projection'!Z17:AK17),0)</f>
        <v/>
      </c>
    </row>
    <row r="8" ht="22" customHeight="1">
      <c r="A8" s="10" t="inlineStr">
        <is>
          <t>Net Cash Flow PHP</t>
        </is>
      </c>
      <c r="B8" s="16">
        <f>ROUND(SUM('Monthly Projection'!B18:M18),0)</f>
        <v/>
      </c>
      <c r="C8" s="16">
        <f>ROUND(SUM('Monthly Projection'!N18:Y18),0)</f>
        <v/>
      </c>
      <c r="D8" s="16">
        <f>ROUND(SUM('Monthly Projection'!Z18:AK18),0)</f>
        <v/>
      </c>
    </row>
    <row r="9" ht="22" customHeight="1">
      <c r="A9" s="10" t="inlineStr">
        <is>
          <t>Ending Cumulative Cash PHP</t>
        </is>
      </c>
      <c r="B9" s="16">
        <f>ROUND('Monthly Projection'!M19,0)</f>
        <v/>
      </c>
      <c r="C9" s="16">
        <f>ROUND('Monthly Projection'!Y19,0)</f>
        <v/>
      </c>
      <c r="D9" s="16">
        <f>ROUND('Monthly Projection'!AK19,0)</f>
        <v/>
      </c>
    </row>
  </sheetData>
  <mergeCells count="1">
    <mergeCell ref="A1:E1"/>
  </mergeCells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2" customHeight="1">
      <c r="A1" s="1" t="inlineStr">
        <is>
          <t>Unit Economics</t>
        </is>
      </c>
    </row>
    <row r="2" ht="22" customHeight="1">
      <c r="A2" s="13" t="inlineStr">
        <is>
          <t>Metric</t>
        </is>
      </c>
      <c r="B2" s="13" t="inlineStr">
        <is>
          <t>Value</t>
        </is>
      </c>
      <c r="C2" s="13" t="inlineStr">
        <is>
          <t>Notes</t>
        </is>
      </c>
    </row>
    <row r="3" ht="22" customHeight="1">
      <c r="A3" s="3" t="inlineStr">
        <is>
          <t>Average Job Value PHP</t>
        </is>
      </c>
      <c r="B3" s="14">
        <f>'Assumptions'!B7</f>
        <v/>
      </c>
      <c r="C3" s="3" t="inlineStr">
        <is>
          <t>Editable in Assumptions</t>
        </is>
      </c>
    </row>
    <row r="4" ht="22" customHeight="1">
      <c r="A4" s="3" t="inlineStr">
        <is>
          <t>Take Rate</t>
        </is>
      </c>
      <c r="B4" s="14">
        <f>'Assumptions'!B8</f>
        <v/>
      </c>
      <c r="C4" s="3" t="inlineStr">
        <is>
          <t>Commission percentage if enabled</t>
        </is>
      </c>
    </row>
    <row r="5" ht="22" customHeight="1">
      <c r="A5" s="3" t="inlineStr">
        <is>
          <t>Revenue per Completed Job PHP</t>
        </is>
      </c>
      <c r="B5" s="14">
        <f>'Assumptions'!B7*'Assumptions'!B8</f>
        <v/>
      </c>
      <c r="C5" s="3" t="inlineStr">
        <is>
          <t>Commission revenue only</t>
        </is>
      </c>
    </row>
    <row r="6" ht="22" customHeight="1">
      <c r="A6" s="3" t="inlineStr">
        <is>
          <t>Notification Cost per Posted Request PHP</t>
        </is>
      </c>
      <c r="B6" s="14">
        <f>'Assumptions'!B16</f>
        <v/>
      </c>
      <c r="C6" s="3" t="inlineStr">
        <is>
          <t>Set to 0 if using free channels</t>
        </is>
      </c>
    </row>
    <row r="7" ht="22" customHeight="1">
      <c r="A7" s="3" t="inlineStr">
        <is>
          <t>Estimated Completion Rate</t>
        </is>
      </c>
      <c r="B7" s="14">
        <f>'Assumptions'!B6</f>
        <v/>
      </c>
      <c r="C7" s="3" t="inlineStr">
        <is>
          <t>Completed jobs divided by posted requests</t>
        </is>
      </c>
    </row>
    <row r="8" ht="22" customHeight="1">
      <c r="A8" s="3" t="inlineStr">
        <is>
          <t>Notification Cost per Completed Job PHP</t>
        </is>
      </c>
      <c r="B8" s="14">
        <f>IF(B7&gt;0,B6/B7,0)</f>
        <v/>
      </c>
      <c r="C8" s="3" t="inlineStr">
        <is>
          <t>Cost allocation</t>
        </is>
      </c>
    </row>
    <row r="9" ht="22" customHeight="1">
      <c r="A9" s="3" t="inlineStr">
        <is>
          <t>Gross Contribution per Completed Job PHP</t>
        </is>
      </c>
      <c r="B9" s="14">
        <f>B5-B8</f>
        <v/>
      </c>
      <c r="C9" s="3" t="inlineStr">
        <is>
          <t>Before fixed costs</t>
        </is>
      </c>
    </row>
    <row r="10" ht="22" customHeight="1">
      <c r="A10" s="3" t="inlineStr">
        <is>
          <t>Break-even Completed Jobs per Month</t>
        </is>
      </c>
      <c r="B10" s="14">
        <f>IF(B9&gt;0,('Assumptions'!B12+'Assumptions'!B13+'Assumptions'!B14+'Assumptions'!B15+'Assumptions'!B17)/B9, "N/A")</f>
        <v/>
      </c>
      <c r="C10" s="3" t="inlineStr">
        <is>
          <t>Only meaningful when monetization is active</t>
        </is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2026-05-31T01:02:11Z</dcterms:created>
  <dcterms:modified xmlns:dcterms="http://purl.org/dc/terms/" xmlns:xsi="http://www.w3.org/2001/XMLSchema-instance" xsi:type="dcterms:W3CDTF">2026-06-06T23:39:49Z</dcterms:modified>
</cp:coreProperties>
</file>